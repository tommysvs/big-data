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GitHub\big-data\notebooks\assignments\"/>
    </mc:Choice>
  </mc:AlternateContent>
  <xr:revisionPtr revIDLastSave="0" documentId="13_ncr:1_{ED15C476-21CE-4113-9F96-FF5E7FD55432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Ventas_Raw" sheetId="1" r:id="rId1"/>
    <sheet name="Catalogos_Reglas" sheetId="2" r:id="rId2"/>
    <sheet name="Perfilado_Raw" sheetId="3" r:id="rId3"/>
    <sheet name="Silver_Data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" i="3" l="1"/>
  <c r="F11" i="3"/>
  <c r="F10" i="3"/>
  <c r="F9" i="3"/>
  <c r="F8" i="3"/>
  <c r="F7" i="3"/>
  <c r="F6" i="3"/>
  <c r="F5" i="3"/>
  <c r="F4" i="3"/>
</calcChain>
</file>

<file path=xl/sharedStrings.xml><?xml version="1.0" encoding="utf-8"?>
<sst xmlns="http://schemas.openxmlformats.org/spreadsheetml/2006/main" count="1301" uniqueCount="478">
  <si>
    <t>IdVenta</t>
  </si>
  <si>
    <t>FechaVenta</t>
  </si>
  <si>
    <t>ClienteId</t>
  </si>
  <si>
    <t>ClienteNombre</t>
  </si>
  <si>
    <t>Ciudad</t>
  </si>
  <si>
    <t>Producto</t>
  </si>
  <si>
    <t>Categoria</t>
  </si>
  <si>
    <t>Cantidad</t>
  </si>
  <si>
    <t>PrecioUnitario</t>
  </si>
  <si>
    <t>Descuento</t>
  </si>
  <si>
    <t>MetodoPago</t>
  </si>
  <si>
    <t>Estado</t>
  </si>
  <si>
    <t>Vendedor</t>
  </si>
  <si>
    <t>EmailCliente</t>
  </si>
  <si>
    <t>Telefono</t>
  </si>
  <si>
    <t>TotalReportado</t>
  </si>
  <si>
    <t>Observaciones_Origen</t>
  </si>
  <si>
    <t>V-1001</t>
  </si>
  <si>
    <t>C001</t>
  </si>
  <si>
    <t>Ana López</t>
  </si>
  <si>
    <t>Tegucigalpa</t>
  </si>
  <si>
    <t>Laptop</t>
  </si>
  <si>
    <t>Tecnología</t>
  </si>
  <si>
    <t>Tarjeta</t>
  </si>
  <si>
    <t>Pagado</t>
  </si>
  <si>
    <t>M. Reyes</t>
  </si>
  <si>
    <t>ana.lopez@example.com</t>
  </si>
  <si>
    <t>9988-7766</t>
  </si>
  <si>
    <t>Posible duplicado exacto</t>
  </si>
  <si>
    <t>V-1002</t>
  </si>
  <si>
    <t>01/05/2026</t>
  </si>
  <si>
    <t>c002</t>
  </si>
  <si>
    <t>Carlos Mejía</t>
  </si>
  <si>
    <t>San Pedro Sula</t>
  </si>
  <si>
    <t>mouse</t>
  </si>
  <si>
    <t>tecnologia</t>
  </si>
  <si>
    <t>2</t>
  </si>
  <si>
    <t>L. 350.00</t>
  </si>
  <si>
    <t>0</t>
  </si>
  <si>
    <t>efectivo</t>
  </si>
  <si>
    <t>A. Cruz</t>
  </si>
  <si>
    <t>carlos.mejia@example.com</t>
  </si>
  <si>
    <t>9999 1122</t>
  </si>
  <si>
    <t>700</t>
  </si>
  <si>
    <t>V-1003</t>
  </si>
  <si>
    <t>2026/05/02</t>
  </si>
  <si>
    <t>C003</t>
  </si>
  <si>
    <t>María Santos</t>
  </si>
  <si>
    <t>SPS</t>
  </si>
  <si>
    <t>Teclado</t>
  </si>
  <si>
    <t>450,50</t>
  </si>
  <si>
    <t>5%</t>
  </si>
  <si>
    <t>Transferencia</t>
  </si>
  <si>
    <t>pagado</t>
  </si>
  <si>
    <t>maria.santos@example</t>
  </si>
  <si>
    <t>8888-1234</t>
  </si>
  <si>
    <t>Ciudad abreviada</t>
  </si>
  <si>
    <t>V-1004</t>
  </si>
  <si>
    <t>mayo 3, 2026</t>
  </si>
  <si>
    <t>C004</t>
  </si>
  <si>
    <t>Jose Rivera</t>
  </si>
  <si>
    <t>La Ceiba</t>
  </si>
  <si>
    <t>Monitor</t>
  </si>
  <si>
    <t>Pendiente</t>
  </si>
  <si>
    <t>L. Torres</t>
  </si>
  <si>
    <t>jose.rivera@example.com</t>
  </si>
  <si>
    <t>8877-6655</t>
  </si>
  <si>
    <t>Cantidad cero</t>
  </si>
  <si>
    <t>V-1005</t>
  </si>
  <si>
    <t>C005</t>
  </si>
  <si>
    <t>Sofia García</t>
  </si>
  <si>
    <t>Choloma</t>
  </si>
  <si>
    <t>Silla Oficina</t>
  </si>
  <si>
    <t>Muebles</t>
  </si>
  <si>
    <t>1,250.00</t>
  </si>
  <si>
    <t>10</t>
  </si>
  <si>
    <t>Cancelado</t>
  </si>
  <si>
    <t>sofia.garcia@example.com</t>
  </si>
  <si>
    <t>3366-2211</t>
  </si>
  <si>
    <t>Fecha faltante; descuento como entero</t>
  </si>
  <si>
    <t>V-1006</t>
  </si>
  <si>
    <t>2026-13-05</t>
  </si>
  <si>
    <t>C006</t>
  </si>
  <si>
    <t>Luis Martínez</t>
  </si>
  <si>
    <t>Comayagua</t>
  </si>
  <si>
    <t>Escritorio</t>
  </si>
  <si>
    <t>luis.martinez@example.com</t>
  </si>
  <si>
    <t>9999-3344</t>
  </si>
  <si>
    <t>Fecha inválida</t>
  </si>
  <si>
    <t>V-1007</t>
  </si>
  <si>
    <t>2026-05-04</t>
  </si>
  <si>
    <t>Cliente Desconocido</t>
  </si>
  <si>
    <t>Impresora</t>
  </si>
  <si>
    <t>cliente.desconocido@example.com</t>
  </si>
  <si>
    <t>9988-1111</t>
  </si>
  <si>
    <t>ClienteId faltante</t>
  </si>
  <si>
    <t>V-1008</t>
  </si>
  <si>
    <t>C008</t>
  </si>
  <si>
    <t>Karla Núñez</t>
  </si>
  <si>
    <t>la ceiba</t>
  </si>
  <si>
    <t>Papel</t>
  </si>
  <si>
    <t>Oficina</t>
  </si>
  <si>
    <t>85</t>
  </si>
  <si>
    <t>Efectivo</t>
  </si>
  <si>
    <t>Entregado</t>
  </si>
  <si>
    <t>karla.nunez@example.com</t>
  </si>
  <si>
    <t>2233-4455</t>
  </si>
  <si>
    <t>Estado fuera de catálogo</t>
  </si>
  <si>
    <t>V-1009</t>
  </si>
  <si>
    <t>2026-05-05</t>
  </si>
  <si>
    <t>C009</t>
  </si>
  <si>
    <t>Roberto Díaz</t>
  </si>
  <si>
    <t>El Progreso</t>
  </si>
  <si>
    <t>Tinta</t>
  </si>
  <si>
    <t>roberto.diaz@example.com</t>
  </si>
  <si>
    <t>9988-2222</t>
  </si>
  <si>
    <t>Precio negativo</t>
  </si>
  <si>
    <t>V-1010</t>
  </si>
  <si>
    <t>05-06-2026</t>
  </si>
  <si>
    <t>C010</t>
  </si>
  <si>
    <t>Elvin Cruz</t>
  </si>
  <si>
    <t>Tegus</t>
  </si>
  <si>
    <t>elvin.cruz@</t>
  </si>
  <si>
    <t>9988-3333</t>
  </si>
  <si>
    <t>Descuento mayor que 1</t>
  </si>
  <si>
    <t>V-1011</t>
  </si>
  <si>
    <t>2026-05-06</t>
  </si>
  <si>
    <t>C011</t>
  </si>
  <si>
    <t>Diana  Paz</t>
  </si>
  <si>
    <t>Tecnologia</t>
  </si>
  <si>
    <t>dos</t>
  </si>
  <si>
    <t>tarjeta</t>
  </si>
  <si>
    <t>diana.paz@example.com</t>
  </si>
  <si>
    <t>7777-1111</t>
  </si>
  <si>
    <t>Cantidad en texto</t>
  </si>
  <si>
    <t>V-1012</t>
  </si>
  <si>
    <t>2026-05-07</t>
  </si>
  <si>
    <t>C012</t>
  </si>
  <si>
    <t>Brenda López</t>
  </si>
  <si>
    <t>Mouse</t>
  </si>
  <si>
    <t>PayPal</t>
  </si>
  <si>
    <t>brenda.lopez@example.com</t>
  </si>
  <si>
    <t>3333-7777</t>
  </si>
  <si>
    <t>Método de pago no permitido</t>
  </si>
  <si>
    <t>V-1013</t>
  </si>
  <si>
    <t>C013</t>
  </si>
  <si>
    <t>Mario Castro</t>
  </si>
  <si>
    <t>mario.castro@example.com</t>
  </si>
  <si>
    <t>9988-4444</t>
  </si>
  <si>
    <t>Total reportado no coincide</t>
  </si>
  <si>
    <t>V-1014</t>
  </si>
  <si>
    <t>2026-05-08</t>
  </si>
  <si>
    <t>C014</t>
  </si>
  <si>
    <t>Paola Fernández</t>
  </si>
  <si>
    <t>muebles</t>
  </si>
  <si>
    <t>2 500</t>
  </si>
  <si>
    <t>paola.fernandez@example.com</t>
  </si>
  <si>
    <t>9988-5555</t>
  </si>
  <si>
    <t>Precio con espacio</t>
  </si>
  <si>
    <t>V-1015</t>
  </si>
  <si>
    <t>C015</t>
  </si>
  <si>
    <t>Oscar Valdez</t>
  </si>
  <si>
    <t>oscar.valdez@example.com</t>
  </si>
  <si>
    <t>9988-6666</t>
  </si>
  <si>
    <t>Cantidad faltante</t>
  </si>
  <si>
    <t>V-1016</t>
  </si>
  <si>
    <t>2026-05-09</t>
  </si>
  <si>
    <t>C016</t>
  </si>
  <si>
    <t>Hector Mejía</t>
  </si>
  <si>
    <t>San Pedro sula</t>
  </si>
  <si>
    <t>hector.mejia@example.com</t>
  </si>
  <si>
    <t>9988-7777</t>
  </si>
  <si>
    <t>Espacios y mayúsculas/minúsculas</t>
  </si>
  <si>
    <t>V-1017</t>
  </si>
  <si>
    <t>C017</t>
  </si>
  <si>
    <t>Laura Zuniga</t>
  </si>
  <si>
    <t>N/A</t>
  </si>
  <si>
    <t>laura.zuniga@example.com</t>
  </si>
  <si>
    <t>9988-8888</t>
  </si>
  <si>
    <t>Precio no numérico</t>
  </si>
  <si>
    <t>V-1018</t>
  </si>
  <si>
    <t>2026-05-10</t>
  </si>
  <si>
    <t>C018</t>
  </si>
  <si>
    <t>Kevin Pinto</t>
  </si>
  <si>
    <t>kevin.pinto@example.com</t>
  </si>
  <si>
    <t>9988-9999</t>
  </si>
  <si>
    <t>Descuento no numérico</t>
  </si>
  <si>
    <t>V-1019</t>
  </si>
  <si>
    <t>C019</t>
  </si>
  <si>
    <t>Cliente repetido, venta distinta</t>
  </si>
  <si>
    <t>V-1020</t>
  </si>
  <si>
    <t>2026-05-11</t>
  </si>
  <si>
    <t>C020</t>
  </si>
  <si>
    <t>Rosa Martínez</t>
  </si>
  <si>
    <t>rosa.martinez@example.com</t>
  </si>
  <si>
    <t>9966-1122</t>
  </si>
  <si>
    <t>Ciudad faltante</t>
  </si>
  <si>
    <t>V-1021</t>
  </si>
  <si>
    <t>C021</t>
  </si>
  <si>
    <t>Pedro Aguilar</t>
  </si>
  <si>
    <t>Tablet</t>
  </si>
  <si>
    <t>pedro.aguilar@example.com</t>
  </si>
  <si>
    <t>9966-2233</t>
  </si>
  <si>
    <t>V-1022</t>
  </si>
  <si>
    <t>2026-05-12</t>
  </si>
  <si>
    <t>C022</t>
  </si>
  <si>
    <t>Gabriela Flores</t>
  </si>
  <si>
    <t>14,500.00</t>
  </si>
  <si>
    <t>0.05</t>
  </si>
  <si>
    <t>gabriela.flores@example.com</t>
  </si>
  <si>
    <t>9966-3344</t>
  </si>
  <si>
    <t>13775</t>
  </si>
  <si>
    <t>Espacio al inicio del nombre</t>
  </si>
  <si>
    <t>V-1023</t>
  </si>
  <si>
    <t>C023</t>
  </si>
  <si>
    <t>Andrés Molina</t>
  </si>
  <si>
    <t>Audífonos</t>
  </si>
  <si>
    <t>Accesorios</t>
  </si>
  <si>
    <t>andres.molina@example.com</t>
  </si>
  <si>
    <t>9966-4455</t>
  </si>
  <si>
    <t>V-1024</t>
  </si>
  <si>
    <t>2026-05-13</t>
  </si>
  <si>
    <t>C024</t>
  </si>
  <si>
    <t>Marcela Suazo</t>
  </si>
  <si>
    <t>marcela.suazo@example.com</t>
  </si>
  <si>
    <t>9966-5566</t>
  </si>
  <si>
    <t>Cantidad negativa</t>
  </si>
  <si>
    <t>V-1025</t>
  </si>
  <si>
    <t>C025</t>
  </si>
  <si>
    <t>Jorge Reyes</t>
  </si>
  <si>
    <t>Transferencia bancaria</t>
  </si>
  <si>
    <t>jorge.reyes@example.com</t>
  </si>
  <si>
    <t>9966-6677</t>
  </si>
  <si>
    <t>Método equivalente a normalizar</t>
  </si>
  <si>
    <t>V-1026</t>
  </si>
  <si>
    <t>13/05/2026</t>
  </si>
  <si>
    <t>C026</t>
  </si>
  <si>
    <t>Carmen Herrera</t>
  </si>
  <si>
    <t>carmen.herrera@example.com</t>
  </si>
  <si>
    <t>9966-7788</t>
  </si>
  <si>
    <t>Fecha día/mes/año</t>
  </si>
  <si>
    <t>V-1027</t>
  </si>
  <si>
    <t>2026.05.14</t>
  </si>
  <si>
    <t>C027</t>
  </si>
  <si>
    <t>Nelson  Soto</t>
  </si>
  <si>
    <t>nelson.soto@example.com</t>
  </si>
  <si>
    <t>9966-8899</t>
  </si>
  <si>
    <t>Doble espacio en nombre</t>
  </si>
  <si>
    <t>V-1028</t>
  </si>
  <si>
    <t>2026-05-14</t>
  </si>
  <si>
    <t>C028</t>
  </si>
  <si>
    <t>Valeria Cano</t>
  </si>
  <si>
    <t>valeria.cano@example.com</t>
  </si>
  <si>
    <t>9966-9900</t>
  </si>
  <si>
    <t>V-1029</t>
  </si>
  <si>
    <t>2026-05-15</t>
  </si>
  <si>
    <t>C029</t>
  </si>
  <si>
    <t>Felipe Rivas</t>
  </si>
  <si>
    <t>pAGADO</t>
  </si>
  <si>
    <t>felipe.rivas@example.com</t>
  </si>
  <si>
    <t>9955-1111</t>
  </si>
  <si>
    <t>Estado con formato inconsistente</t>
  </si>
  <si>
    <t>V-1030</t>
  </si>
  <si>
    <t>C030</t>
  </si>
  <si>
    <t>Monica Díaz</t>
  </si>
  <si>
    <t>monica.diaz@example.com</t>
  </si>
  <si>
    <t>9955-2222</t>
  </si>
  <si>
    <t>V-1031</t>
  </si>
  <si>
    <t>2026-05-16</t>
  </si>
  <si>
    <t>C031</t>
  </si>
  <si>
    <t>Ruben Ochoa</t>
  </si>
  <si>
    <t>ruben.ochoa@example.com</t>
  </si>
  <si>
    <t>9955-3333</t>
  </si>
  <si>
    <t>V-1032</t>
  </si>
  <si>
    <t>C032</t>
  </si>
  <si>
    <t>Daniela Perez</t>
  </si>
  <si>
    <t>El progreso</t>
  </si>
  <si>
    <t>14500L</t>
  </si>
  <si>
    <t>daniela.perez@example.com</t>
  </si>
  <si>
    <t>9955-4444</t>
  </si>
  <si>
    <t>Precio con letra</t>
  </si>
  <si>
    <t>V-1033</t>
  </si>
  <si>
    <t>2026-05-17</t>
  </si>
  <si>
    <t>C033</t>
  </si>
  <si>
    <t>Ricardo Gómez</t>
  </si>
  <si>
    <t>ricardo.gomez@example.com</t>
  </si>
  <si>
    <t>9955-5555</t>
  </si>
  <si>
    <t>Total reportado menor</t>
  </si>
  <si>
    <t>V-1034</t>
  </si>
  <si>
    <t>C034</t>
  </si>
  <si>
    <t>Noelia Torres</t>
  </si>
  <si>
    <t>noelia.torres@example.com</t>
  </si>
  <si>
    <t>9955-6666</t>
  </si>
  <si>
    <t>V-1035</t>
  </si>
  <si>
    <t>2026-05-18</t>
  </si>
  <si>
    <t>C035</t>
  </si>
  <si>
    <t>9955-7777</t>
  </si>
  <si>
    <t>Nombre y email faltantes</t>
  </si>
  <si>
    <t>V-1036</t>
  </si>
  <si>
    <t>C036</t>
  </si>
  <si>
    <t>Alberto Medina</t>
  </si>
  <si>
    <t>alberto.medina@example.com</t>
  </si>
  <si>
    <t>9955-8888</t>
  </si>
  <si>
    <t>V-1037</t>
  </si>
  <si>
    <t>2026-05-19</t>
  </si>
  <si>
    <t>C037</t>
  </si>
  <si>
    <t>9955-9999</t>
  </si>
  <si>
    <t>V-1038</t>
  </si>
  <si>
    <t>C038</t>
  </si>
  <si>
    <t>Sonia Cruz</t>
  </si>
  <si>
    <t>Audifonos</t>
  </si>
  <si>
    <t>accesorios</t>
  </si>
  <si>
    <t>sonia.cruz@example.com</t>
  </si>
  <si>
    <t>9944-1111</t>
  </si>
  <si>
    <t>Acento y categoría en minúscula</t>
  </si>
  <si>
    <t>V-1039</t>
  </si>
  <si>
    <t>2026-05-20</t>
  </si>
  <si>
    <t>C039</t>
  </si>
  <si>
    <t>Eduardo Lara</t>
  </si>
  <si>
    <t>15%</t>
  </si>
  <si>
    <t>eduardo.lara@example.com</t>
  </si>
  <si>
    <t>9944-2222</t>
  </si>
  <si>
    <t>Descuento en porcentaje</t>
  </si>
  <si>
    <t>V-1040</t>
  </si>
  <si>
    <t>C040</t>
  </si>
  <si>
    <t>Patricia Díaz</t>
  </si>
  <si>
    <t>patricia.diaz@example.com</t>
  </si>
  <si>
    <t>9944-3333</t>
  </si>
  <si>
    <t>Estado faltante</t>
  </si>
  <si>
    <t>V-1041</t>
  </si>
  <si>
    <t>2026-05-21</t>
  </si>
  <si>
    <t>C041</t>
  </si>
  <si>
    <t>Gustavo Reyes</t>
  </si>
  <si>
    <t>Tech</t>
  </si>
  <si>
    <t>gustavo.reyes@example.com</t>
  </si>
  <si>
    <t>9944-4444</t>
  </si>
  <si>
    <t>Categoría abreviada</t>
  </si>
  <si>
    <t>V-1042</t>
  </si>
  <si>
    <t>C042</t>
  </si>
  <si>
    <t>Marta Mejía</t>
  </si>
  <si>
    <t>marta.mejia@example.com</t>
  </si>
  <si>
    <t>9944-5555</t>
  </si>
  <si>
    <t>Total reportado parece tener descuento no registrado</t>
  </si>
  <si>
    <t>V-1043</t>
  </si>
  <si>
    <t>2026-05-22</t>
  </si>
  <si>
    <t>C043</t>
  </si>
  <si>
    <t>9944-6666</t>
  </si>
  <si>
    <t>V-1044</t>
  </si>
  <si>
    <t>C044</t>
  </si>
  <si>
    <t>Gloria Ponce</t>
  </si>
  <si>
    <t>3 unidades</t>
  </si>
  <si>
    <t>gloria.ponce@example.com</t>
  </si>
  <si>
    <t>9944-7777</t>
  </si>
  <si>
    <t>Cantidad con texto adicional</t>
  </si>
  <si>
    <t>V-1045</t>
  </si>
  <si>
    <t>2026-05-23</t>
  </si>
  <si>
    <t>C045</t>
  </si>
  <si>
    <t>Samuel Ruiz</t>
  </si>
  <si>
    <t>Silla oficina</t>
  </si>
  <si>
    <t>1.250,00</t>
  </si>
  <si>
    <t>samuel.ruiz@example.com</t>
  </si>
  <si>
    <t>9944-8888</t>
  </si>
  <si>
    <t>Formato europeo de precio</t>
  </si>
  <si>
    <t>V-1046</t>
  </si>
  <si>
    <t>C046</t>
  </si>
  <si>
    <t>Teresa Villeda</t>
  </si>
  <si>
    <t>teresa.villeda@example.com</t>
  </si>
  <si>
    <t>9944-9999</t>
  </si>
  <si>
    <t>V-1047</t>
  </si>
  <si>
    <t>2026-05-24</t>
  </si>
  <si>
    <t>C047</t>
  </si>
  <si>
    <t>Ángel Flores</t>
  </si>
  <si>
    <t>angel.flores@example.com</t>
  </si>
  <si>
    <t>9933-1111</t>
  </si>
  <si>
    <t>V-1048</t>
  </si>
  <si>
    <t>C048</t>
  </si>
  <si>
    <t>Lucía Molina</t>
  </si>
  <si>
    <t>lucia.molina@example.com</t>
  </si>
  <si>
    <t>9933-2222</t>
  </si>
  <si>
    <t>V-1049</t>
  </si>
  <si>
    <t>2026-05-25</t>
  </si>
  <si>
    <t>C049</t>
  </si>
  <si>
    <t>Iván Suazo</t>
  </si>
  <si>
    <t>Anulado</t>
  </si>
  <si>
    <t>ivan.suazo@example.com</t>
  </si>
  <si>
    <t>9933-3333</t>
  </si>
  <si>
    <t>Estado no permitido</t>
  </si>
  <si>
    <t>V-1050</t>
  </si>
  <si>
    <t>C050</t>
  </si>
  <si>
    <t>Claudia Medina</t>
  </si>
  <si>
    <t>claudia.medina@example.com</t>
  </si>
  <si>
    <t>9933-4444</t>
  </si>
  <si>
    <t>C051</t>
  </si>
  <si>
    <t>Carlos Núñez</t>
  </si>
  <si>
    <t>carlos.nunez@example.com</t>
  </si>
  <si>
    <t>9933-5555</t>
  </si>
  <si>
    <t>IdVenta duplicado con otro cliente</t>
  </si>
  <si>
    <t>Catálogos válidos y reglas de limpieza</t>
  </si>
  <si>
    <t>Ciudades válidas</t>
  </si>
  <si>
    <t>Productos válidos</t>
  </si>
  <si>
    <t>Categorías válidas</t>
  </si>
  <si>
    <t>Métodos de pago válidos</t>
  </si>
  <si>
    <t>Estados válidos</t>
  </si>
  <si>
    <t>Campo</t>
  </si>
  <si>
    <t>Regla</t>
  </si>
  <si>
    <t>Acción esperada</t>
  </si>
  <si>
    <t>Obligatorio y único.</t>
  </si>
  <si>
    <t>Detectar duplicados; si es duplicado exacto, rechazar o marcar según criterio docente.</t>
  </si>
  <si>
    <t>Fecha válida, formato final yyyy-mm-dd.</t>
  </si>
  <si>
    <t>Convertir formatos válidos; rechazar fechas imposibles o faltantes críticas.</t>
  </si>
  <si>
    <t>Obligatorio, formato C###.</t>
  </si>
  <si>
    <t>Aplicar trim y mayúscula; rechazar si está vacío.</t>
  </si>
  <si>
    <t>Obligatorio.</t>
  </si>
  <si>
    <t>Aplicar trim; corregir dobles espacios; rechazar si está vacío.</t>
  </si>
  <si>
    <t>Debe existir en catálogo.</t>
  </si>
  <si>
    <t>Normalizar abreviaturas como SPS o Tegus si el criterio es evidente.</t>
  </si>
  <si>
    <t>Normalizar mayúsculas/minúsculas, acentos y espacios.</t>
  </si>
  <si>
    <t>Categoría</t>
  </si>
  <si>
    <t>Normalizar valores como tecnologia, Tecnologia, Tech si el criterio es evidente.</t>
  </si>
  <si>
    <t>Número entero mayor que 0.</t>
  </si>
  <si>
    <t>Convertir si es posible; rechazar valores vacíos, texto no convertible, cero o negativos.</t>
  </si>
  <si>
    <t>Número decimal mayor o igual que 0.</t>
  </si>
  <si>
    <t>Quitar símbolos de moneda/separadores; rechazar negativos o no convertibles.</t>
  </si>
  <si>
    <t>Decimal entre 0 y 1.</t>
  </si>
  <si>
    <t>Convertir 5% a 0.05; interpretar 10 como 0.10 solo si la regla de negocio lo permite.</t>
  </si>
  <si>
    <t>Normalizar equivalencias como Transferencia bancaria -&gt; Transferencia.</t>
  </si>
  <si>
    <t>Normalizar mayúsculas/minúsculas; rechazar estados no permitidos.</t>
  </si>
  <si>
    <t>Debe coincidir contra TotalCalculado.</t>
  </si>
  <si>
    <t>Calcular diferencia y documentar inconsistencias.</t>
  </si>
  <si>
    <t>Perfilado inicial del Raw Data</t>
  </si>
  <si>
    <t>Métrica</t>
  </si>
  <si>
    <t>Valor automático</t>
  </si>
  <si>
    <t>Comentario del alumno</t>
  </si>
  <si>
    <t>Problema</t>
  </si>
  <si>
    <t>Total de registros</t>
  </si>
  <si>
    <t>Fechas vacías</t>
  </si>
  <si>
    <t>Columnas recibidas</t>
  </si>
  <si>
    <t>ClienteId vacío</t>
  </si>
  <si>
    <t>ClienteNombre vacío</t>
  </si>
  <si>
    <t>Ciudad vacía</t>
  </si>
  <si>
    <t>Estado vacío</t>
  </si>
  <si>
    <t>IdVenta duplicado</t>
  </si>
  <si>
    <t>Cantidad &lt;= 0</t>
  </si>
  <si>
    <t>Filas con IdVenta duplicado</t>
  </si>
  <si>
    <t>Cantidades &lt;= 0 visibles</t>
  </si>
  <si>
    <t>Descuento &gt; 1</t>
  </si>
  <si>
    <t>Precios negativos visibles</t>
  </si>
  <si>
    <t>Descuentos &gt; 1 visibles</t>
  </si>
  <si>
    <t>Registros revisados manualmente</t>
  </si>
  <si>
    <t>EmailValido</t>
  </si>
  <si>
    <t>TotalCalculado</t>
  </si>
  <si>
    <t>Diferencia</t>
  </si>
  <si>
    <t>ObservacionesLimpieza</t>
  </si>
  <si>
    <t>2026-05-01</t>
  </si>
  <si>
    <t>Sí</t>
  </si>
  <si>
    <t>Registro limpio/normalizado</t>
  </si>
  <si>
    <t>C002</t>
  </si>
  <si>
    <t>2026-05-02</t>
  </si>
  <si>
    <t>No</t>
  </si>
  <si>
    <t>Email inválido: maria.santos@example; TotalReportado difiere del TotalCalculado por 0.03</t>
  </si>
  <si>
    <t>TotalReportado difiere del TotalCalculado por 125.0</t>
  </si>
  <si>
    <t>Descuento no numérico; se asumió 0</t>
  </si>
  <si>
    <t>Nelson Soto</t>
  </si>
  <si>
    <t>TotalReportado difiere del TotalCalculado por -200.0</t>
  </si>
  <si>
    <t>TotalReportado difiere del TotalCalculado por -725.0</t>
  </si>
  <si>
    <t>Cantidad con texto adicional; se extrajo número</t>
  </si>
  <si>
    <t>El total de registros de Ventas_Raw</t>
  </si>
  <si>
    <t>El total de columnas en Ventas_Raw</t>
  </si>
  <si>
    <t xml:space="preserve">La cantidad de fechas faltantes en Ventas_Raw </t>
  </si>
  <si>
    <t>La columna de ClienteId que no tiene Id</t>
  </si>
  <si>
    <t>La columna de ClienteNombre que no tiene Nombre</t>
  </si>
  <si>
    <t>La cantidad de ciudades que están vacías</t>
  </si>
  <si>
    <t>La cantidad de estados que están vacíos</t>
  </si>
  <si>
    <t>Filas de Ventas_Raw que tiene el Id duplicado</t>
  </si>
  <si>
    <t>Las cantidades de ventas que son menor o igual a 0</t>
  </si>
  <si>
    <t>Precios negativos</t>
  </si>
  <si>
    <t>Cantidad de descuentos mayor al 1%</t>
  </si>
  <si>
    <t>Se revisaron los 11 registros requeridos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</si>
</sst>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>
    <font>
      <sz val="11"/>
      <name val="Carlito"/>
    </font>
    <font>
      <b/>
      <sz val="16"/>
      <color rgb="FFFFFFFF"/>
      <name val="Carlito"/>
    </font>
    <font>
      <b/>
      <sz val="11"/>
      <color rgb="FF1F4E78"/>
      <name val="Carlito"/>
    </font>
    <font>
      <b/>
      <sz val="11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3" borderId="0" xfId="0" applyFont="1" applyFill="1" applyAlignment="1">
      <alignment horizontal="left" vertical="center"/>
    </xf>
    <xf numFmtId="0" fontId="0" fillId="0" borderId="0" xfId="0" applyAlignment="1">
      <alignment wrapText="1"/>
    </xf>
    <xf numFmtId="0" fontId="3" fillId="2" borderId="0" xfId="0" applyFont="1" applyFill="1" applyAlignment="1">
      <alignment horizontal="center" vertical="center" wrapText="1"/>
    </xf>
    <xf numFmtId="164" fontId="0" fillId="0" borderId="0" xfId="0" applyNumberFormat="1" applyAlignment="1">
      <alignment wrapText="1"/>
    </xf>
    <xf numFmtId="4" fontId="0" fillId="0" borderId="0" xfId="0" applyNumberFormat="1" applyAlignment="1">
      <alignment wrapText="1"/>
    </xf>
    <xf numFmtId="1" fontId="0" fillId="0" borderId="0" xfId="0" applyNumberFormat="1"/>
    <xf numFmtId="0" fontId="3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Cantidad</c:v>
          </c:tx>
          <c:spPr>
            <a:ln>
              <a:prstDash val="solid"/>
            </a:ln>
          </c:spPr>
          <c:invertIfNegative val="1"/>
          <c:cat>
            <c:strRef>
              <c:f>Perfilado_Raw!$E$4:$E$12</c:f>
              <c:strCache>
                <c:ptCount val="9"/>
                <c:pt idx="0">
                  <c:v>Fechas vacías</c:v>
                </c:pt>
                <c:pt idx="1">
                  <c:v>ClienteId vacío</c:v>
                </c:pt>
                <c:pt idx="2">
                  <c:v>ClienteNombre vacío</c:v>
                </c:pt>
                <c:pt idx="3">
                  <c:v>Ciudad vacía</c:v>
                </c:pt>
                <c:pt idx="4">
                  <c:v>Estado vacío</c:v>
                </c:pt>
                <c:pt idx="5">
                  <c:v>IdVenta duplicado</c:v>
                </c:pt>
                <c:pt idx="6">
                  <c:v>Cantidad &lt;= 0</c:v>
                </c:pt>
                <c:pt idx="7">
                  <c:v>Precio negativo</c:v>
                </c:pt>
                <c:pt idx="8">
                  <c:v>Descuento &gt; 1</c:v>
                </c:pt>
              </c:strCache>
            </c:strRef>
          </c:cat>
          <c:val>
            <c:numRef>
              <c:f>Perfilado_Raw!$F$4:$F$12</c:f>
              <c:numCache>
                <c:formatCode>General</c:formatCode>
                <c:ptCount val="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9C-4527-8BAD-33E1E2363C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13</xdr:row>
      <xdr:rowOff>0</xdr:rowOff>
    </xdr:from>
    <xdr:to>
      <xdr:col>12</xdr:col>
      <xdr:colOff>0</xdr:colOff>
      <xdr:row>32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VentasRawTable" displayName="VentasRawTable" ref="A1:Q53">
  <tableColumns count="17">
    <tableColumn id="1" xr3:uid="{00000000-0010-0000-0000-000001000000}" name="IdVenta"/>
    <tableColumn id="2" xr3:uid="{00000000-0010-0000-0000-000002000000}" name="FechaVenta"/>
    <tableColumn id="3" xr3:uid="{00000000-0010-0000-0000-000003000000}" name="ClienteId"/>
    <tableColumn id="4" xr3:uid="{00000000-0010-0000-0000-000004000000}" name="ClienteNombre"/>
    <tableColumn id="5" xr3:uid="{00000000-0010-0000-0000-000005000000}" name="Ciudad"/>
    <tableColumn id="6" xr3:uid="{00000000-0010-0000-0000-000006000000}" name="Producto"/>
    <tableColumn id="7" xr3:uid="{00000000-0010-0000-0000-000007000000}" name="Categoria"/>
    <tableColumn id="8" xr3:uid="{00000000-0010-0000-0000-000008000000}" name="Cantidad"/>
    <tableColumn id="9" xr3:uid="{00000000-0010-0000-0000-000009000000}" name="PrecioUnitario"/>
    <tableColumn id="10" xr3:uid="{00000000-0010-0000-0000-00000A000000}" name="Descuento"/>
    <tableColumn id="11" xr3:uid="{00000000-0010-0000-0000-00000B000000}" name="MetodoPago"/>
    <tableColumn id="12" xr3:uid="{00000000-0010-0000-0000-00000C000000}" name="Estado"/>
    <tableColumn id="13" xr3:uid="{00000000-0010-0000-0000-00000D000000}" name="Vendedor"/>
    <tableColumn id="14" xr3:uid="{00000000-0010-0000-0000-00000E000000}" name="EmailCliente"/>
    <tableColumn id="15" xr3:uid="{00000000-0010-0000-0000-00000F000000}" name="Telefono"/>
    <tableColumn id="16" xr3:uid="{00000000-0010-0000-0000-000010000000}" name="TotalReportado"/>
    <tableColumn id="17" xr3:uid="{00000000-0010-0000-0000-000011000000}" name="Observaciones_Orige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045D667-2E69-44FF-9534-E07838BC8B38}" name="Table2" displayName="Table2" ref="A1:T35" totalsRowShown="0">
  <tableColumns count="20">
    <tableColumn id="1" xr3:uid="{0B60EEEC-6AED-409D-9AC7-E810CBCC5EA9}" name="IdVenta"/>
    <tableColumn id="2" xr3:uid="{D5970CBA-9372-4EF4-8D5C-0CBD2BDA34B4}" name="FechaVenta"/>
    <tableColumn id="3" xr3:uid="{58749752-096C-4504-9CCE-A2B2CD5DEDF4}" name="ClienteId"/>
    <tableColumn id="4" xr3:uid="{209269C5-0974-4887-A016-60F5265E3B48}" name="ClienteNombre"/>
    <tableColumn id="5" xr3:uid="{3D8F95B4-40C5-4FB2-A971-83E90704BEDC}" name="Ciudad"/>
    <tableColumn id="6" xr3:uid="{A7308B1F-E229-455C-B132-5B183D4E2C36}" name="Producto"/>
    <tableColumn id="7" xr3:uid="{09FDD3BE-51C0-4ED0-A454-4C94213B24BD}" name="Categoria"/>
    <tableColumn id="8" xr3:uid="{2914490B-20E1-4704-A33C-6DBC7724189C}" name="Cantidad"/>
    <tableColumn id="9" xr3:uid="{78064A8D-0924-4689-8877-500A8BF0BB82}" name="PrecioUnitario"/>
    <tableColumn id="10" xr3:uid="{B7499DAA-FF1C-4FD8-A94A-B8421AB83836}" name="Descuento"/>
    <tableColumn id="11" xr3:uid="{5CB749C4-6711-4421-AAEC-64F0062483D8}" name="MetodoPago"/>
    <tableColumn id="12" xr3:uid="{582BD2F2-CF59-49B1-9BC3-658D422E596C}" name="Estado"/>
    <tableColumn id="13" xr3:uid="{BCFC887C-0D9E-456C-B71A-6E1EA9E71D01}" name="Vendedor"/>
    <tableColumn id="14" xr3:uid="{4774EBD9-DB32-4C6A-85A3-24084DB99208}" name="EmailCliente"/>
    <tableColumn id="15" xr3:uid="{31E9BF90-AF67-4D74-8A08-97063B87F6BE}" name="EmailValido"/>
    <tableColumn id="16" xr3:uid="{A8AC6A5F-44E0-4AC9-92AD-30746BCF11BA}" name="Telefono"/>
    <tableColumn id="17" xr3:uid="{981241EC-5C64-4172-80FB-F680BC121DE7}" name="TotalCalculado"/>
    <tableColumn id="18" xr3:uid="{557C6038-0197-4331-B140-6C4578C2232B}" name="TotalReportado"/>
    <tableColumn id="19" xr3:uid="{9542D99A-4F4D-4183-8CF5-F2EE44E7EEBD}" name="Diferencia"/>
    <tableColumn id="20" xr3:uid="{A2D5AF34-8AC4-4799-9D85-B5C91F9DCD19}" name="ObservacionesLimpiez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3"/>
  <sheetViews>
    <sheetView workbookViewId="0">
      <selection activeCell="J12" sqref="J12"/>
    </sheetView>
  </sheetViews>
  <sheetFormatPr defaultRowHeight="14.25"/>
  <cols>
    <col min="1" max="1" width="12" customWidth="1"/>
    <col min="2" max="2" width="14" customWidth="1"/>
    <col min="3" max="3" width="12" customWidth="1"/>
    <col min="4" max="4" width="22" customWidth="1"/>
    <col min="5" max="6" width="18" customWidth="1"/>
    <col min="7" max="7" width="16" customWidth="1"/>
    <col min="8" max="8" width="12" customWidth="1"/>
    <col min="9" max="9" width="16" customWidth="1"/>
    <col min="10" max="10" width="14" customWidth="1"/>
    <col min="11" max="11" width="18" customWidth="1"/>
    <col min="12" max="13" width="14" customWidth="1"/>
    <col min="14" max="14" width="28" customWidth="1"/>
    <col min="15" max="16" width="16" customWidth="1"/>
    <col min="17" max="17" width="36" customWidth="1"/>
  </cols>
  <sheetData>
    <row r="1" spans="1:17" ht="1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7" ht="15" customHeight="1">
      <c r="A2" s="2" t="s">
        <v>17</v>
      </c>
      <c r="B2" s="4">
        <v>46143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>
        <v>1</v>
      </c>
      <c r="I2" s="5">
        <v>14500</v>
      </c>
      <c r="J2" s="2">
        <v>0.05</v>
      </c>
      <c r="K2" s="2" t="s">
        <v>23</v>
      </c>
      <c r="L2" s="2" t="s">
        <v>24</v>
      </c>
      <c r="M2" s="2" t="s">
        <v>25</v>
      </c>
      <c r="N2" s="2" t="s">
        <v>26</v>
      </c>
      <c r="O2" s="2" t="s">
        <v>27</v>
      </c>
      <c r="P2" s="5">
        <v>13775</v>
      </c>
      <c r="Q2" s="2"/>
    </row>
    <row r="3" spans="1:17" ht="15" customHeight="1">
      <c r="A3" s="2" t="s">
        <v>17</v>
      </c>
      <c r="B3" s="4">
        <v>46143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22</v>
      </c>
      <c r="H3" s="2">
        <v>1</v>
      </c>
      <c r="I3" s="5">
        <v>14500</v>
      </c>
      <c r="J3" s="2">
        <v>0.05</v>
      </c>
      <c r="K3" s="2" t="s">
        <v>23</v>
      </c>
      <c r="L3" s="2" t="s">
        <v>24</v>
      </c>
      <c r="M3" s="2" t="s">
        <v>25</v>
      </c>
      <c r="N3" s="2" t="s">
        <v>26</v>
      </c>
      <c r="O3" s="2" t="s">
        <v>27</v>
      </c>
      <c r="P3" s="5">
        <v>13775</v>
      </c>
      <c r="Q3" s="2" t="s">
        <v>28</v>
      </c>
    </row>
    <row r="4" spans="1:17" ht="15" customHeight="1">
      <c r="A4" s="2" t="s">
        <v>29</v>
      </c>
      <c r="B4" s="4" t="s">
        <v>30</v>
      </c>
      <c r="C4" s="2" t="s">
        <v>31</v>
      </c>
      <c r="D4" s="2" t="s">
        <v>32</v>
      </c>
      <c r="E4" s="2" t="s">
        <v>33</v>
      </c>
      <c r="F4" s="2" t="s">
        <v>34</v>
      </c>
      <c r="G4" s="2" t="s">
        <v>35</v>
      </c>
      <c r="H4" s="2" t="s">
        <v>36</v>
      </c>
      <c r="I4" s="5" t="s">
        <v>37</v>
      </c>
      <c r="J4" s="2" t="s">
        <v>38</v>
      </c>
      <c r="K4" s="2" t="s">
        <v>39</v>
      </c>
      <c r="L4" s="2" t="s">
        <v>24</v>
      </c>
      <c r="M4" s="2" t="s">
        <v>40</v>
      </c>
      <c r="N4" s="2" t="s">
        <v>41</v>
      </c>
      <c r="O4" s="2" t="s">
        <v>42</v>
      </c>
      <c r="P4" s="5" t="s">
        <v>43</v>
      </c>
      <c r="Q4" s="2"/>
    </row>
    <row r="5" spans="1:17" ht="15" customHeight="1">
      <c r="A5" s="2" t="s">
        <v>44</v>
      </c>
      <c r="B5" s="4" t="s">
        <v>45</v>
      </c>
      <c r="C5" s="2" t="s">
        <v>46</v>
      </c>
      <c r="D5" s="2" t="s">
        <v>47</v>
      </c>
      <c r="E5" s="2" t="s">
        <v>48</v>
      </c>
      <c r="F5" s="2" t="s">
        <v>49</v>
      </c>
      <c r="G5" s="2" t="s">
        <v>35</v>
      </c>
      <c r="H5" s="2">
        <v>1</v>
      </c>
      <c r="I5" s="5" t="s">
        <v>50</v>
      </c>
      <c r="J5" s="2" t="s">
        <v>51</v>
      </c>
      <c r="K5" s="2" t="s">
        <v>52</v>
      </c>
      <c r="L5" s="2" t="s">
        <v>53</v>
      </c>
      <c r="M5" s="2" t="s">
        <v>40</v>
      </c>
      <c r="N5" s="2" t="s">
        <v>54</v>
      </c>
      <c r="O5" s="2" t="s">
        <v>55</v>
      </c>
      <c r="P5" s="5">
        <v>428</v>
      </c>
      <c r="Q5" s="2" t="s">
        <v>56</v>
      </c>
    </row>
    <row r="6" spans="1:17" ht="15" customHeight="1">
      <c r="A6" s="2" t="s">
        <v>57</v>
      </c>
      <c r="B6" s="4" t="s">
        <v>58</v>
      </c>
      <c r="C6" s="2" t="s">
        <v>59</v>
      </c>
      <c r="D6" s="2" t="s">
        <v>60</v>
      </c>
      <c r="E6" s="2" t="s">
        <v>61</v>
      </c>
      <c r="F6" s="2" t="s">
        <v>62</v>
      </c>
      <c r="G6" s="2" t="s">
        <v>22</v>
      </c>
      <c r="H6" s="2">
        <v>0</v>
      </c>
      <c r="I6" s="5">
        <v>3200</v>
      </c>
      <c r="J6" s="2">
        <v>0</v>
      </c>
      <c r="K6" s="2" t="s">
        <v>23</v>
      </c>
      <c r="L6" s="2" t="s">
        <v>63</v>
      </c>
      <c r="M6" s="2" t="s">
        <v>64</v>
      </c>
      <c r="N6" s="2" t="s">
        <v>65</v>
      </c>
      <c r="O6" s="2" t="s">
        <v>66</v>
      </c>
      <c r="P6" s="5">
        <v>3200</v>
      </c>
      <c r="Q6" s="2" t="s">
        <v>67</v>
      </c>
    </row>
    <row r="7" spans="1:17" ht="15" customHeight="1">
      <c r="A7" s="2" t="s">
        <v>68</v>
      </c>
      <c r="B7" s="4"/>
      <c r="C7" s="2" t="s">
        <v>69</v>
      </c>
      <c r="D7" s="2" t="s">
        <v>70</v>
      </c>
      <c r="E7" s="2" t="s">
        <v>71</v>
      </c>
      <c r="F7" s="2" t="s">
        <v>72</v>
      </c>
      <c r="G7" s="2" t="s">
        <v>73</v>
      </c>
      <c r="H7" s="2">
        <v>3</v>
      </c>
      <c r="I7" s="5" t="s">
        <v>74</v>
      </c>
      <c r="J7" s="2" t="s">
        <v>75</v>
      </c>
      <c r="K7" s="2" t="s">
        <v>39</v>
      </c>
      <c r="L7" s="2" t="s">
        <v>76</v>
      </c>
      <c r="M7" s="2" t="s">
        <v>64</v>
      </c>
      <c r="N7" s="2" t="s">
        <v>77</v>
      </c>
      <c r="O7" s="2" t="s">
        <v>78</v>
      </c>
      <c r="P7" s="5">
        <v>3375</v>
      </c>
      <c r="Q7" s="2" t="s">
        <v>79</v>
      </c>
    </row>
    <row r="8" spans="1:17" ht="15" customHeight="1">
      <c r="A8" s="2" t="s">
        <v>80</v>
      </c>
      <c r="B8" s="4" t="s">
        <v>81</v>
      </c>
      <c r="C8" s="2" t="s">
        <v>82</v>
      </c>
      <c r="D8" s="2" t="s">
        <v>83</v>
      </c>
      <c r="E8" s="2" t="s">
        <v>84</v>
      </c>
      <c r="F8" s="2" t="s">
        <v>85</v>
      </c>
      <c r="G8" s="2" t="s">
        <v>73</v>
      </c>
      <c r="H8" s="2">
        <v>1</v>
      </c>
      <c r="I8" s="5">
        <v>2500</v>
      </c>
      <c r="J8" s="2">
        <v>0.15</v>
      </c>
      <c r="K8" s="2" t="s">
        <v>23</v>
      </c>
      <c r="L8" s="2" t="s">
        <v>24</v>
      </c>
      <c r="M8" s="2" t="s">
        <v>25</v>
      </c>
      <c r="N8" s="2" t="s">
        <v>86</v>
      </c>
      <c r="O8" s="2" t="s">
        <v>87</v>
      </c>
      <c r="P8" s="5">
        <v>2125</v>
      </c>
      <c r="Q8" s="2" t="s">
        <v>88</v>
      </c>
    </row>
    <row r="9" spans="1:17" ht="26.45" customHeight="1">
      <c r="A9" s="2" t="s">
        <v>89</v>
      </c>
      <c r="B9" s="4" t="s">
        <v>90</v>
      </c>
      <c r="C9" s="2"/>
      <c r="D9" s="2" t="s">
        <v>91</v>
      </c>
      <c r="E9" s="2" t="s">
        <v>20</v>
      </c>
      <c r="F9" s="2" t="s">
        <v>92</v>
      </c>
      <c r="G9" s="2" t="s">
        <v>22</v>
      </c>
      <c r="H9" s="2">
        <v>1</v>
      </c>
      <c r="I9" s="5">
        <v>3900</v>
      </c>
      <c r="J9" s="2">
        <v>0</v>
      </c>
      <c r="K9" s="2" t="s">
        <v>52</v>
      </c>
      <c r="L9" s="2" t="s">
        <v>24</v>
      </c>
      <c r="M9" s="2" t="s">
        <v>40</v>
      </c>
      <c r="N9" s="2" t="s">
        <v>93</v>
      </c>
      <c r="O9" s="2" t="s">
        <v>94</v>
      </c>
      <c r="P9" s="5">
        <v>3900</v>
      </c>
      <c r="Q9" s="2" t="s">
        <v>95</v>
      </c>
    </row>
    <row r="10" spans="1:17" ht="15" customHeight="1">
      <c r="A10" s="2" t="s">
        <v>96</v>
      </c>
      <c r="B10" s="4" t="s">
        <v>90</v>
      </c>
      <c r="C10" s="2" t="s">
        <v>97</v>
      </c>
      <c r="D10" s="2" t="s">
        <v>98</v>
      </c>
      <c r="E10" s="2" t="s">
        <v>99</v>
      </c>
      <c r="F10" s="2" t="s">
        <v>100</v>
      </c>
      <c r="G10" s="2" t="s">
        <v>101</v>
      </c>
      <c r="H10" s="2">
        <v>10</v>
      </c>
      <c r="I10" s="5" t="s">
        <v>102</v>
      </c>
      <c r="J10" s="2">
        <v>0</v>
      </c>
      <c r="K10" s="2" t="s">
        <v>103</v>
      </c>
      <c r="L10" s="2" t="s">
        <v>104</v>
      </c>
      <c r="M10" s="2" t="s">
        <v>25</v>
      </c>
      <c r="N10" s="2" t="s">
        <v>105</v>
      </c>
      <c r="O10" s="2" t="s">
        <v>106</v>
      </c>
      <c r="P10" s="5">
        <v>850</v>
      </c>
      <c r="Q10" s="2" t="s">
        <v>107</v>
      </c>
    </row>
    <row r="11" spans="1:17" ht="15" customHeight="1">
      <c r="A11" s="2" t="s">
        <v>108</v>
      </c>
      <c r="B11" s="4" t="s">
        <v>109</v>
      </c>
      <c r="C11" s="2" t="s">
        <v>110</v>
      </c>
      <c r="D11" s="2" t="s">
        <v>111</v>
      </c>
      <c r="E11" s="2" t="s">
        <v>112</v>
      </c>
      <c r="F11" s="2" t="s">
        <v>113</v>
      </c>
      <c r="G11" s="2" t="s">
        <v>101</v>
      </c>
      <c r="H11" s="2">
        <v>2</v>
      </c>
      <c r="I11" s="5">
        <v>-250</v>
      </c>
      <c r="J11" s="2">
        <v>0</v>
      </c>
      <c r="K11" s="2" t="s">
        <v>103</v>
      </c>
      <c r="L11" s="2" t="s">
        <v>24</v>
      </c>
      <c r="M11" s="2" t="s">
        <v>64</v>
      </c>
      <c r="N11" s="2" t="s">
        <v>114</v>
      </c>
      <c r="O11" s="2" t="s">
        <v>115</v>
      </c>
      <c r="P11" s="5">
        <v>-500</v>
      </c>
      <c r="Q11" s="2" t="s">
        <v>116</v>
      </c>
    </row>
    <row r="12" spans="1:17" ht="15" customHeight="1">
      <c r="A12" s="2" t="s">
        <v>117</v>
      </c>
      <c r="B12" s="4" t="s">
        <v>118</v>
      </c>
      <c r="C12" s="2" t="s">
        <v>119</v>
      </c>
      <c r="D12" s="2" t="s">
        <v>120</v>
      </c>
      <c r="E12" s="2" t="s">
        <v>121</v>
      </c>
      <c r="F12" s="2" t="s">
        <v>21</v>
      </c>
      <c r="G12" s="2" t="s">
        <v>22</v>
      </c>
      <c r="H12" s="2">
        <v>1</v>
      </c>
      <c r="I12" s="5">
        <v>15000</v>
      </c>
      <c r="J12" s="2">
        <v>1.2</v>
      </c>
      <c r="K12" s="2" t="s">
        <v>23</v>
      </c>
      <c r="L12" s="2" t="s">
        <v>24</v>
      </c>
      <c r="M12" s="2" t="s">
        <v>40</v>
      </c>
      <c r="N12" s="2" t="s">
        <v>122</v>
      </c>
      <c r="O12" s="2" t="s">
        <v>123</v>
      </c>
      <c r="P12" s="5">
        <v>15000</v>
      </c>
      <c r="Q12" s="2" t="s">
        <v>124</v>
      </c>
    </row>
    <row r="13" spans="1:17" ht="15" customHeight="1">
      <c r="A13" s="2" t="s">
        <v>125</v>
      </c>
      <c r="B13" s="4" t="s">
        <v>126</v>
      </c>
      <c r="C13" s="2" t="s">
        <v>127</v>
      </c>
      <c r="D13" s="2" t="s">
        <v>128</v>
      </c>
      <c r="E13" s="2" t="s">
        <v>33</v>
      </c>
      <c r="F13" s="2" t="s">
        <v>62</v>
      </c>
      <c r="G13" s="2" t="s">
        <v>129</v>
      </c>
      <c r="H13" s="2" t="s">
        <v>130</v>
      </c>
      <c r="I13" s="5">
        <v>3200</v>
      </c>
      <c r="J13" s="2">
        <v>0</v>
      </c>
      <c r="K13" s="2" t="s">
        <v>131</v>
      </c>
      <c r="L13" s="2" t="s">
        <v>63</v>
      </c>
      <c r="M13" s="2" t="s">
        <v>25</v>
      </c>
      <c r="N13" s="2" t="s">
        <v>132</v>
      </c>
      <c r="O13" s="2" t="s">
        <v>133</v>
      </c>
      <c r="P13" s="5">
        <v>6400</v>
      </c>
      <c r="Q13" s="2" t="s">
        <v>134</v>
      </c>
    </row>
    <row r="14" spans="1:17" ht="15" customHeight="1">
      <c r="A14" s="2" t="s">
        <v>135</v>
      </c>
      <c r="B14" s="4" t="s">
        <v>136</v>
      </c>
      <c r="C14" s="2" t="s">
        <v>137</v>
      </c>
      <c r="D14" s="2" t="s">
        <v>138</v>
      </c>
      <c r="E14" s="2" t="s">
        <v>20</v>
      </c>
      <c r="F14" s="2" t="s">
        <v>139</v>
      </c>
      <c r="G14" s="2" t="s">
        <v>22</v>
      </c>
      <c r="H14" s="2">
        <v>4</v>
      </c>
      <c r="I14" s="5">
        <v>300</v>
      </c>
      <c r="J14" s="2">
        <v>0.05</v>
      </c>
      <c r="K14" s="2" t="s">
        <v>140</v>
      </c>
      <c r="L14" s="2" t="s">
        <v>24</v>
      </c>
      <c r="M14" s="2" t="s">
        <v>64</v>
      </c>
      <c r="N14" s="2" t="s">
        <v>141</v>
      </c>
      <c r="O14" s="2" t="s">
        <v>142</v>
      </c>
      <c r="P14" s="5">
        <v>1140</v>
      </c>
      <c r="Q14" s="2" t="s">
        <v>143</v>
      </c>
    </row>
    <row r="15" spans="1:17" ht="15" customHeight="1">
      <c r="A15" s="2" t="s">
        <v>144</v>
      </c>
      <c r="B15" s="4" t="s">
        <v>136</v>
      </c>
      <c r="C15" s="2" t="s">
        <v>145</v>
      </c>
      <c r="D15" s="2" t="s">
        <v>146</v>
      </c>
      <c r="E15" s="2" t="s">
        <v>61</v>
      </c>
      <c r="F15" s="2" t="s">
        <v>72</v>
      </c>
      <c r="G15" s="2" t="s">
        <v>73</v>
      </c>
      <c r="H15" s="2">
        <v>1</v>
      </c>
      <c r="I15" s="5">
        <v>1250</v>
      </c>
      <c r="J15" s="2">
        <v>0.1</v>
      </c>
      <c r="K15" s="2" t="s">
        <v>103</v>
      </c>
      <c r="L15" s="2" t="s">
        <v>24</v>
      </c>
      <c r="M15" s="2" t="s">
        <v>40</v>
      </c>
      <c r="N15" s="2" t="s">
        <v>147</v>
      </c>
      <c r="O15" s="2" t="s">
        <v>148</v>
      </c>
      <c r="P15" s="5">
        <v>1250</v>
      </c>
      <c r="Q15" s="2" t="s">
        <v>149</v>
      </c>
    </row>
    <row r="16" spans="1:17" ht="15" customHeight="1">
      <c r="A16" s="2" t="s">
        <v>150</v>
      </c>
      <c r="B16" s="4" t="s">
        <v>151</v>
      </c>
      <c r="C16" s="2" t="s">
        <v>152</v>
      </c>
      <c r="D16" s="2" t="s">
        <v>153</v>
      </c>
      <c r="E16" s="2" t="s">
        <v>71</v>
      </c>
      <c r="F16" s="2" t="s">
        <v>85</v>
      </c>
      <c r="G16" s="2" t="s">
        <v>154</v>
      </c>
      <c r="H16" s="2">
        <v>1</v>
      </c>
      <c r="I16" s="5" t="s">
        <v>155</v>
      </c>
      <c r="J16" s="2">
        <v>0.05</v>
      </c>
      <c r="K16" s="2" t="s">
        <v>52</v>
      </c>
      <c r="L16" s="2" t="s">
        <v>24</v>
      </c>
      <c r="M16" s="2" t="s">
        <v>25</v>
      </c>
      <c r="N16" s="2" t="s">
        <v>156</v>
      </c>
      <c r="O16" s="2" t="s">
        <v>157</v>
      </c>
      <c r="P16" s="5">
        <v>2375</v>
      </c>
      <c r="Q16" s="2" t="s">
        <v>158</v>
      </c>
    </row>
    <row r="17" spans="1:17" ht="15" customHeight="1">
      <c r="A17" s="2" t="s">
        <v>159</v>
      </c>
      <c r="B17" s="4" t="s">
        <v>151</v>
      </c>
      <c r="C17" s="2" t="s">
        <v>160</v>
      </c>
      <c r="D17" s="2" t="s">
        <v>161</v>
      </c>
      <c r="E17" s="2" t="s">
        <v>84</v>
      </c>
      <c r="F17" s="2" t="s">
        <v>21</v>
      </c>
      <c r="G17" s="2" t="s">
        <v>22</v>
      </c>
      <c r="H17" s="2"/>
      <c r="I17" s="5">
        <v>14500</v>
      </c>
      <c r="J17" s="2">
        <v>0</v>
      </c>
      <c r="K17" s="2" t="s">
        <v>23</v>
      </c>
      <c r="L17" s="2" t="s">
        <v>24</v>
      </c>
      <c r="M17" s="2" t="s">
        <v>64</v>
      </c>
      <c r="N17" s="2" t="s">
        <v>162</v>
      </c>
      <c r="O17" s="2" t="s">
        <v>163</v>
      </c>
      <c r="P17" s="5"/>
      <c r="Q17" s="2" t="s">
        <v>164</v>
      </c>
    </row>
    <row r="18" spans="1:17" ht="15" customHeight="1">
      <c r="A18" s="2" t="s">
        <v>165</v>
      </c>
      <c r="B18" s="4" t="s">
        <v>166</v>
      </c>
      <c r="C18" s="2" t="s">
        <v>167</v>
      </c>
      <c r="D18" s="2" t="s">
        <v>168</v>
      </c>
      <c r="E18" s="2" t="s">
        <v>169</v>
      </c>
      <c r="F18" s="2" t="s">
        <v>49</v>
      </c>
      <c r="G18" s="2" t="s">
        <v>22</v>
      </c>
      <c r="H18" s="2">
        <v>3</v>
      </c>
      <c r="I18" s="5">
        <v>450</v>
      </c>
      <c r="J18" s="2">
        <v>0</v>
      </c>
      <c r="K18" s="2" t="s">
        <v>103</v>
      </c>
      <c r="L18" s="2" t="s">
        <v>24</v>
      </c>
      <c r="M18" s="2" t="s">
        <v>40</v>
      </c>
      <c r="N18" s="2" t="s">
        <v>170</v>
      </c>
      <c r="O18" s="2" t="s">
        <v>171</v>
      </c>
      <c r="P18" s="5">
        <v>1350</v>
      </c>
      <c r="Q18" s="2" t="s">
        <v>172</v>
      </c>
    </row>
    <row r="19" spans="1:17" ht="15" customHeight="1">
      <c r="A19" s="2" t="s">
        <v>173</v>
      </c>
      <c r="B19" s="4" t="s">
        <v>166</v>
      </c>
      <c r="C19" s="2" t="s">
        <v>174</v>
      </c>
      <c r="D19" s="2" t="s">
        <v>175</v>
      </c>
      <c r="E19" s="2" t="s">
        <v>20</v>
      </c>
      <c r="F19" s="2" t="s">
        <v>139</v>
      </c>
      <c r="G19" s="2" t="s">
        <v>129</v>
      </c>
      <c r="H19" s="2">
        <v>2</v>
      </c>
      <c r="I19" s="5" t="s">
        <v>176</v>
      </c>
      <c r="J19" s="2">
        <v>0</v>
      </c>
      <c r="K19" s="2" t="s">
        <v>23</v>
      </c>
      <c r="L19" s="2" t="s">
        <v>24</v>
      </c>
      <c r="M19" s="2" t="s">
        <v>25</v>
      </c>
      <c r="N19" s="2" t="s">
        <v>177</v>
      </c>
      <c r="O19" s="2" t="s">
        <v>178</v>
      </c>
      <c r="P19" s="5">
        <v>700</v>
      </c>
      <c r="Q19" s="2" t="s">
        <v>179</v>
      </c>
    </row>
    <row r="20" spans="1:17" ht="15" customHeight="1">
      <c r="A20" s="2" t="s">
        <v>180</v>
      </c>
      <c r="B20" s="4" t="s">
        <v>181</v>
      </c>
      <c r="C20" s="2" t="s">
        <v>182</v>
      </c>
      <c r="D20" s="2" t="s">
        <v>183</v>
      </c>
      <c r="E20" s="2" t="s">
        <v>61</v>
      </c>
      <c r="F20" s="2" t="s">
        <v>62</v>
      </c>
      <c r="G20" s="2" t="s">
        <v>22</v>
      </c>
      <c r="H20" s="2">
        <v>1</v>
      </c>
      <c r="I20" s="5">
        <v>3200</v>
      </c>
      <c r="J20" s="2" t="s">
        <v>176</v>
      </c>
      <c r="K20" s="2" t="s">
        <v>52</v>
      </c>
      <c r="L20" s="2" t="s">
        <v>24</v>
      </c>
      <c r="M20" s="2" t="s">
        <v>64</v>
      </c>
      <c r="N20" s="2" t="s">
        <v>184</v>
      </c>
      <c r="O20" s="2" t="s">
        <v>185</v>
      </c>
      <c r="P20" s="5">
        <v>3200</v>
      </c>
      <c r="Q20" s="2" t="s">
        <v>186</v>
      </c>
    </row>
    <row r="21" spans="1:17" ht="15" customHeight="1">
      <c r="A21" s="2" t="s">
        <v>187</v>
      </c>
      <c r="B21" s="4" t="s">
        <v>181</v>
      </c>
      <c r="C21" s="2" t="s">
        <v>188</v>
      </c>
      <c r="D21" s="2" t="s">
        <v>19</v>
      </c>
      <c r="E21" s="2" t="s">
        <v>20</v>
      </c>
      <c r="F21" s="2" t="s">
        <v>21</v>
      </c>
      <c r="G21" s="2" t="s">
        <v>22</v>
      </c>
      <c r="H21" s="2">
        <v>1</v>
      </c>
      <c r="I21" s="5">
        <v>14500</v>
      </c>
      <c r="J21" s="2">
        <v>0.05</v>
      </c>
      <c r="K21" s="2" t="s">
        <v>23</v>
      </c>
      <c r="L21" s="2" t="s">
        <v>24</v>
      </c>
      <c r="M21" s="2" t="s">
        <v>40</v>
      </c>
      <c r="N21" s="2" t="s">
        <v>26</v>
      </c>
      <c r="O21" s="2" t="s">
        <v>27</v>
      </c>
      <c r="P21" s="5">
        <v>13775</v>
      </c>
      <c r="Q21" s="2" t="s">
        <v>189</v>
      </c>
    </row>
    <row r="22" spans="1:17" ht="15" customHeight="1">
      <c r="A22" s="2" t="s">
        <v>190</v>
      </c>
      <c r="B22" s="4" t="s">
        <v>191</v>
      </c>
      <c r="C22" s="2" t="s">
        <v>192</v>
      </c>
      <c r="D22" s="2" t="s">
        <v>193</v>
      </c>
      <c r="E22" s="2"/>
      <c r="F22" s="2" t="s">
        <v>72</v>
      </c>
      <c r="G22" s="2" t="s">
        <v>73</v>
      </c>
      <c r="H22" s="2">
        <v>1</v>
      </c>
      <c r="I22" s="5">
        <v>1250</v>
      </c>
      <c r="J22" s="2">
        <v>0</v>
      </c>
      <c r="K22" s="2" t="s">
        <v>103</v>
      </c>
      <c r="L22" s="2" t="s">
        <v>24</v>
      </c>
      <c r="M22" s="2" t="s">
        <v>25</v>
      </c>
      <c r="N22" s="2" t="s">
        <v>194</v>
      </c>
      <c r="O22" s="2" t="s">
        <v>195</v>
      </c>
      <c r="P22" s="5">
        <v>1250</v>
      </c>
      <c r="Q22" s="2" t="s">
        <v>196</v>
      </c>
    </row>
    <row r="23" spans="1:17" ht="15" customHeight="1">
      <c r="A23" s="2" t="s">
        <v>197</v>
      </c>
      <c r="B23" s="4" t="s">
        <v>191</v>
      </c>
      <c r="C23" s="2" t="s">
        <v>198</v>
      </c>
      <c r="D23" s="2" t="s">
        <v>199</v>
      </c>
      <c r="E23" s="2" t="s">
        <v>20</v>
      </c>
      <c r="F23" s="2" t="s">
        <v>200</v>
      </c>
      <c r="G23" s="2" t="s">
        <v>22</v>
      </c>
      <c r="H23" s="2">
        <v>1</v>
      </c>
      <c r="I23" s="5">
        <v>5200</v>
      </c>
      <c r="J23" s="2">
        <v>0.2</v>
      </c>
      <c r="K23" s="2" t="s">
        <v>23</v>
      </c>
      <c r="L23" s="2" t="s">
        <v>24</v>
      </c>
      <c r="M23" s="2" t="s">
        <v>64</v>
      </c>
      <c r="N23" s="2" t="s">
        <v>201</v>
      </c>
      <c r="O23" s="2" t="s">
        <v>202</v>
      </c>
      <c r="P23" s="5">
        <v>4160</v>
      </c>
      <c r="Q23" s="2"/>
    </row>
    <row r="24" spans="1:17" ht="15" customHeight="1">
      <c r="A24" s="2" t="s">
        <v>203</v>
      </c>
      <c r="B24" s="4" t="s">
        <v>204</v>
      </c>
      <c r="C24" s="2" t="s">
        <v>205</v>
      </c>
      <c r="D24" s="2" t="s">
        <v>206</v>
      </c>
      <c r="E24" s="2" t="s">
        <v>84</v>
      </c>
      <c r="F24" s="2" t="s">
        <v>21</v>
      </c>
      <c r="G24" s="2" t="s">
        <v>22</v>
      </c>
      <c r="H24" s="2">
        <v>1</v>
      </c>
      <c r="I24" s="5" t="s">
        <v>207</v>
      </c>
      <c r="J24" s="2" t="s">
        <v>208</v>
      </c>
      <c r="K24" s="2" t="s">
        <v>52</v>
      </c>
      <c r="L24" s="2" t="s">
        <v>24</v>
      </c>
      <c r="M24" s="2" t="s">
        <v>40</v>
      </c>
      <c r="N24" s="2" t="s">
        <v>209</v>
      </c>
      <c r="O24" s="2" t="s">
        <v>210</v>
      </c>
      <c r="P24" s="5" t="s">
        <v>211</v>
      </c>
      <c r="Q24" s="2" t="s">
        <v>212</v>
      </c>
    </row>
    <row r="25" spans="1:17" ht="15" customHeight="1">
      <c r="A25" s="2" t="s">
        <v>213</v>
      </c>
      <c r="B25" s="4" t="s">
        <v>204</v>
      </c>
      <c r="C25" s="2" t="s">
        <v>214</v>
      </c>
      <c r="D25" s="2" t="s">
        <v>215</v>
      </c>
      <c r="E25" s="2" t="s">
        <v>71</v>
      </c>
      <c r="F25" s="2" t="s">
        <v>216</v>
      </c>
      <c r="G25" s="2" t="s">
        <v>217</v>
      </c>
      <c r="H25" s="2">
        <v>2</v>
      </c>
      <c r="I25" s="5">
        <v>650</v>
      </c>
      <c r="J25" s="2">
        <v>0</v>
      </c>
      <c r="K25" s="2" t="s">
        <v>23</v>
      </c>
      <c r="L25" s="2" t="s">
        <v>24</v>
      </c>
      <c r="M25" s="2" t="s">
        <v>25</v>
      </c>
      <c r="N25" s="2" t="s">
        <v>218</v>
      </c>
      <c r="O25" s="2" t="s">
        <v>219</v>
      </c>
      <c r="P25" s="5">
        <v>1300</v>
      </c>
      <c r="Q25" s="2"/>
    </row>
    <row r="26" spans="1:17" ht="15" customHeight="1">
      <c r="A26" s="2" t="s">
        <v>220</v>
      </c>
      <c r="B26" s="4" t="s">
        <v>221</v>
      </c>
      <c r="C26" s="2" t="s">
        <v>222</v>
      </c>
      <c r="D26" s="2" t="s">
        <v>223</v>
      </c>
      <c r="E26" s="2" t="s">
        <v>112</v>
      </c>
      <c r="F26" s="2" t="s">
        <v>139</v>
      </c>
      <c r="G26" s="2" t="s">
        <v>22</v>
      </c>
      <c r="H26" s="2">
        <v>-1</v>
      </c>
      <c r="I26" s="5">
        <v>350</v>
      </c>
      <c r="J26" s="2">
        <v>0</v>
      </c>
      <c r="K26" s="2" t="s">
        <v>103</v>
      </c>
      <c r="L26" s="2" t="s">
        <v>24</v>
      </c>
      <c r="M26" s="2" t="s">
        <v>64</v>
      </c>
      <c r="N26" s="2" t="s">
        <v>224</v>
      </c>
      <c r="O26" s="2" t="s">
        <v>225</v>
      </c>
      <c r="P26" s="5">
        <v>-350</v>
      </c>
      <c r="Q26" s="2" t="s">
        <v>226</v>
      </c>
    </row>
    <row r="27" spans="1:17" ht="15" customHeight="1">
      <c r="A27" s="2" t="s">
        <v>227</v>
      </c>
      <c r="B27" s="4" t="s">
        <v>221</v>
      </c>
      <c r="C27" s="2" t="s">
        <v>228</v>
      </c>
      <c r="D27" s="2" t="s">
        <v>229</v>
      </c>
      <c r="E27" s="2" t="s">
        <v>61</v>
      </c>
      <c r="F27" s="2" t="s">
        <v>62</v>
      </c>
      <c r="G27" s="2" t="s">
        <v>22</v>
      </c>
      <c r="H27" s="2">
        <v>1</v>
      </c>
      <c r="I27" s="5">
        <v>3200</v>
      </c>
      <c r="J27" s="2">
        <v>0</v>
      </c>
      <c r="K27" s="2" t="s">
        <v>230</v>
      </c>
      <c r="L27" s="2" t="s">
        <v>24</v>
      </c>
      <c r="M27" s="2" t="s">
        <v>40</v>
      </c>
      <c r="N27" s="2" t="s">
        <v>231</v>
      </c>
      <c r="O27" s="2" t="s">
        <v>232</v>
      </c>
      <c r="P27" s="5">
        <v>3200</v>
      </c>
      <c r="Q27" s="2" t="s">
        <v>233</v>
      </c>
    </row>
    <row r="28" spans="1:17" ht="15" customHeight="1">
      <c r="A28" s="2" t="s">
        <v>234</v>
      </c>
      <c r="B28" s="4" t="s">
        <v>235</v>
      </c>
      <c r="C28" s="2" t="s">
        <v>236</v>
      </c>
      <c r="D28" s="2" t="s">
        <v>237</v>
      </c>
      <c r="E28" s="2" t="s">
        <v>20</v>
      </c>
      <c r="F28" s="2" t="s">
        <v>49</v>
      </c>
      <c r="G28" s="2" t="s">
        <v>22</v>
      </c>
      <c r="H28" s="2">
        <v>1</v>
      </c>
      <c r="I28" s="5">
        <v>450</v>
      </c>
      <c r="J28" s="2">
        <v>0</v>
      </c>
      <c r="K28" s="2" t="s">
        <v>103</v>
      </c>
      <c r="L28" s="2" t="s">
        <v>24</v>
      </c>
      <c r="M28" s="2" t="s">
        <v>25</v>
      </c>
      <c r="N28" s="2" t="s">
        <v>238</v>
      </c>
      <c r="O28" s="2" t="s">
        <v>239</v>
      </c>
      <c r="P28" s="5">
        <v>450</v>
      </c>
      <c r="Q28" s="2" t="s">
        <v>240</v>
      </c>
    </row>
    <row r="29" spans="1:17" ht="15" customHeight="1">
      <c r="A29" s="2" t="s">
        <v>241</v>
      </c>
      <c r="B29" s="4" t="s">
        <v>242</v>
      </c>
      <c r="C29" s="2" t="s">
        <v>243</v>
      </c>
      <c r="D29" s="2" t="s">
        <v>244</v>
      </c>
      <c r="E29" s="2" t="s">
        <v>33</v>
      </c>
      <c r="F29" s="2" t="s">
        <v>72</v>
      </c>
      <c r="G29" s="2" t="s">
        <v>73</v>
      </c>
      <c r="H29" s="2">
        <v>2</v>
      </c>
      <c r="I29" s="5">
        <v>1250</v>
      </c>
      <c r="J29" s="2">
        <v>0.1</v>
      </c>
      <c r="K29" s="2" t="s">
        <v>23</v>
      </c>
      <c r="L29" s="2" t="s">
        <v>24</v>
      </c>
      <c r="M29" s="2" t="s">
        <v>64</v>
      </c>
      <c r="N29" s="2" t="s">
        <v>245</v>
      </c>
      <c r="O29" s="2" t="s">
        <v>246</v>
      </c>
      <c r="P29" s="5">
        <v>2250</v>
      </c>
      <c r="Q29" s="2" t="s">
        <v>247</v>
      </c>
    </row>
    <row r="30" spans="1:17" ht="15" customHeight="1">
      <c r="A30" s="2" t="s">
        <v>248</v>
      </c>
      <c r="B30" s="4" t="s">
        <v>249</v>
      </c>
      <c r="C30" s="2" t="s">
        <v>250</v>
      </c>
      <c r="D30" s="2" t="s">
        <v>251</v>
      </c>
      <c r="E30" s="2" t="s">
        <v>20</v>
      </c>
      <c r="F30" s="2" t="s">
        <v>85</v>
      </c>
      <c r="G30" s="2" t="s">
        <v>73</v>
      </c>
      <c r="H30" s="2">
        <v>1</v>
      </c>
      <c r="I30" s="5">
        <v>2500</v>
      </c>
      <c r="J30" s="2">
        <v>0.05</v>
      </c>
      <c r="K30" s="2" t="s">
        <v>103</v>
      </c>
      <c r="L30" s="2" t="s">
        <v>24</v>
      </c>
      <c r="M30" s="2" t="s">
        <v>40</v>
      </c>
      <c r="N30" s="2" t="s">
        <v>252</v>
      </c>
      <c r="O30" s="2" t="s">
        <v>253</v>
      </c>
      <c r="P30" s="5">
        <v>2375</v>
      </c>
      <c r="Q30" s="2"/>
    </row>
    <row r="31" spans="1:17" ht="15" customHeight="1">
      <c r="A31" s="2" t="s">
        <v>254</v>
      </c>
      <c r="B31" s="4" t="s">
        <v>255</v>
      </c>
      <c r="C31" s="2" t="s">
        <v>256</v>
      </c>
      <c r="D31" s="2" t="s">
        <v>257</v>
      </c>
      <c r="E31" s="2" t="s">
        <v>84</v>
      </c>
      <c r="F31" s="2" t="s">
        <v>92</v>
      </c>
      <c r="G31" s="2" t="s">
        <v>22</v>
      </c>
      <c r="H31" s="2">
        <v>1</v>
      </c>
      <c r="I31" s="5">
        <v>3900</v>
      </c>
      <c r="J31" s="2">
        <v>0.05</v>
      </c>
      <c r="K31" s="2" t="s">
        <v>23</v>
      </c>
      <c r="L31" s="2" t="s">
        <v>258</v>
      </c>
      <c r="M31" s="2" t="s">
        <v>25</v>
      </c>
      <c r="N31" s="2" t="s">
        <v>259</v>
      </c>
      <c r="O31" s="2" t="s">
        <v>260</v>
      </c>
      <c r="P31" s="5">
        <v>3705</v>
      </c>
      <c r="Q31" s="2" t="s">
        <v>261</v>
      </c>
    </row>
    <row r="32" spans="1:17" ht="15" customHeight="1">
      <c r="A32" s="2" t="s">
        <v>262</v>
      </c>
      <c r="B32" s="4" t="s">
        <v>255</v>
      </c>
      <c r="C32" s="2" t="s">
        <v>263</v>
      </c>
      <c r="D32" s="2" t="s">
        <v>264</v>
      </c>
      <c r="E32" s="2" t="s">
        <v>61</v>
      </c>
      <c r="F32" s="2" t="s">
        <v>100</v>
      </c>
      <c r="G32" s="2" t="s">
        <v>101</v>
      </c>
      <c r="H32" s="2">
        <v>20</v>
      </c>
      <c r="I32" s="5">
        <v>85</v>
      </c>
      <c r="J32" s="2">
        <v>0</v>
      </c>
      <c r="K32" s="2" t="s">
        <v>103</v>
      </c>
      <c r="L32" s="2" t="s">
        <v>24</v>
      </c>
      <c r="M32" s="2" t="s">
        <v>64</v>
      </c>
      <c r="N32" s="2" t="s">
        <v>265</v>
      </c>
      <c r="O32" s="2" t="s">
        <v>266</v>
      </c>
      <c r="P32" s="5">
        <v>1700</v>
      </c>
      <c r="Q32" s="2"/>
    </row>
    <row r="33" spans="1:17" ht="15" customHeight="1">
      <c r="A33" s="2" t="s">
        <v>267</v>
      </c>
      <c r="B33" s="4" t="s">
        <v>268</v>
      </c>
      <c r="C33" s="2" t="s">
        <v>269</v>
      </c>
      <c r="D33" s="2" t="s">
        <v>270</v>
      </c>
      <c r="E33" s="2" t="s">
        <v>71</v>
      </c>
      <c r="F33" s="2" t="s">
        <v>113</v>
      </c>
      <c r="G33" s="2" t="s">
        <v>101</v>
      </c>
      <c r="H33" s="2">
        <v>3</v>
      </c>
      <c r="I33" s="5">
        <v>250</v>
      </c>
      <c r="J33" s="2">
        <v>0.1</v>
      </c>
      <c r="K33" s="2" t="s">
        <v>23</v>
      </c>
      <c r="L33" s="2" t="s">
        <v>24</v>
      </c>
      <c r="M33" s="2" t="s">
        <v>40</v>
      </c>
      <c r="N33" s="2" t="s">
        <v>271</v>
      </c>
      <c r="O33" s="2" t="s">
        <v>272</v>
      </c>
      <c r="P33" s="5">
        <v>675</v>
      </c>
      <c r="Q33" s="2"/>
    </row>
    <row r="34" spans="1:17" ht="15" customHeight="1">
      <c r="A34" s="2" t="s">
        <v>273</v>
      </c>
      <c r="B34" s="4" t="s">
        <v>268</v>
      </c>
      <c r="C34" s="2" t="s">
        <v>274</v>
      </c>
      <c r="D34" s="2" t="s">
        <v>275</v>
      </c>
      <c r="E34" s="2" t="s">
        <v>276</v>
      </c>
      <c r="F34" s="2" t="s">
        <v>21</v>
      </c>
      <c r="G34" s="2" t="s">
        <v>22</v>
      </c>
      <c r="H34" s="2">
        <v>1</v>
      </c>
      <c r="I34" s="5" t="s">
        <v>277</v>
      </c>
      <c r="J34" s="2">
        <v>0</v>
      </c>
      <c r="K34" s="2" t="s">
        <v>52</v>
      </c>
      <c r="L34" s="2" t="s">
        <v>24</v>
      </c>
      <c r="M34" s="2" t="s">
        <v>25</v>
      </c>
      <c r="N34" s="2" t="s">
        <v>278</v>
      </c>
      <c r="O34" s="2" t="s">
        <v>279</v>
      </c>
      <c r="P34" s="5">
        <v>14500</v>
      </c>
      <c r="Q34" s="2" t="s">
        <v>280</v>
      </c>
    </row>
    <row r="35" spans="1:17" ht="15" customHeight="1">
      <c r="A35" s="2" t="s">
        <v>281</v>
      </c>
      <c r="B35" s="4" t="s">
        <v>282</v>
      </c>
      <c r="C35" s="2" t="s">
        <v>283</v>
      </c>
      <c r="D35" s="2" t="s">
        <v>284</v>
      </c>
      <c r="E35" s="2" t="s">
        <v>20</v>
      </c>
      <c r="F35" s="2" t="s">
        <v>62</v>
      </c>
      <c r="G35" s="2" t="s">
        <v>22</v>
      </c>
      <c r="H35" s="2">
        <v>1</v>
      </c>
      <c r="I35" s="5">
        <v>3200</v>
      </c>
      <c r="J35" s="2">
        <v>0</v>
      </c>
      <c r="K35" s="2" t="s">
        <v>103</v>
      </c>
      <c r="L35" s="2" t="s">
        <v>24</v>
      </c>
      <c r="M35" s="2" t="s">
        <v>64</v>
      </c>
      <c r="N35" s="2" t="s">
        <v>285</v>
      </c>
      <c r="O35" s="2" t="s">
        <v>286</v>
      </c>
      <c r="P35" s="5">
        <v>3000</v>
      </c>
      <c r="Q35" s="2" t="s">
        <v>287</v>
      </c>
    </row>
    <row r="36" spans="1:17" ht="15" customHeight="1">
      <c r="A36" s="2" t="s">
        <v>288</v>
      </c>
      <c r="B36" s="4" t="s">
        <v>282</v>
      </c>
      <c r="C36" s="2" t="s">
        <v>289</v>
      </c>
      <c r="D36" s="2" t="s">
        <v>290</v>
      </c>
      <c r="E36" s="2" t="s">
        <v>33</v>
      </c>
      <c r="F36" s="2" t="s">
        <v>139</v>
      </c>
      <c r="G36" s="2" t="s">
        <v>22</v>
      </c>
      <c r="H36" s="2">
        <v>5</v>
      </c>
      <c r="I36" s="5">
        <v>350</v>
      </c>
      <c r="J36" s="2">
        <v>0.05</v>
      </c>
      <c r="K36" s="2" t="s">
        <v>23</v>
      </c>
      <c r="L36" s="2" t="s">
        <v>63</v>
      </c>
      <c r="M36" s="2" t="s">
        <v>40</v>
      </c>
      <c r="N36" s="2" t="s">
        <v>291</v>
      </c>
      <c r="O36" s="2" t="s">
        <v>292</v>
      </c>
      <c r="P36" s="5">
        <v>1662.5</v>
      </c>
      <c r="Q36" s="2"/>
    </row>
    <row r="37" spans="1:17" ht="15" customHeight="1">
      <c r="A37" s="2" t="s">
        <v>293</v>
      </c>
      <c r="B37" s="4" t="s">
        <v>294</v>
      </c>
      <c r="C37" s="2" t="s">
        <v>295</v>
      </c>
      <c r="D37" s="2"/>
      <c r="E37" s="2" t="s">
        <v>61</v>
      </c>
      <c r="F37" s="2" t="s">
        <v>49</v>
      </c>
      <c r="G37" s="2" t="s">
        <v>22</v>
      </c>
      <c r="H37" s="2">
        <v>1</v>
      </c>
      <c r="I37" s="5">
        <v>450</v>
      </c>
      <c r="J37" s="2">
        <v>0</v>
      </c>
      <c r="K37" s="2" t="s">
        <v>103</v>
      </c>
      <c r="L37" s="2" t="s">
        <v>24</v>
      </c>
      <c r="M37" s="2" t="s">
        <v>25</v>
      </c>
      <c r="N37" s="2"/>
      <c r="O37" s="2" t="s">
        <v>296</v>
      </c>
      <c r="P37" s="5">
        <v>450</v>
      </c>
      <c r="Q37" s="2" t="s">
        <v>297</v>
      </c>
    </row>
    <row r="38" spans="1:17" ht="15" customHeight="1">
      <c r="A38" s="2" t="s">
        <v>298</v>
      </c>
      <c r="B38" s="4" t="s">
        <v>294</v>
      </c>
      <c r="C38" s="2" t="s">
        <v>299</v>
      </c>
      <c r="D38" s="2" t="s">
        <v>300</v>
      </c>
      <c r="E38" s="2" t="s">
        <v>84</v>
      </c>
      <c r="F38" s="2" t="s">
        <v>72</v>
      </c>
      <c r="G38" s="2" t="s">
        <v>73</v>
      </c>
      <c r="H38" s="2">
        <v>1</v>
      </c>
      <c r="I38" s="5">
        <v>1250</v>
      </c>
      <c r="J38" s="2">
        <v>0.15</v>
      </c>
      <c r="K38" s="2" t="s">
        <v>23</v>
      </c>
      <c r="L38" s="2" t="s">
        <v>24</v>
      </c>
      <c r="M38" s="2" t="s">
        <v>64</v>
      </c>
      <c r="N38" s="2" t="s">
        <v>301</v>
      </c>
      <c r="O38" s="2" t="s">
        <v>302</v>
      </c>
      <c r="P38" s="5">
        <v>1062.5</v>
      </c>
      <c r="Q38" s="2"/>
    </row>
    <row r="39" spans="1:17" ht="15" customHeight="1">
      <c r="A39" s="2" t="s">
        <v>303</v>
      </c>
      <c r="B39" s="4" t="s">
        <v>304</v>
      </c>
      <c r="C39" s="2" t="s">
        <v>305</v>
      </c>
      <c r="D39" s="2" t="s">
        <v>98</v>
      </c>
      <c r="E39" s="2" t="s">
        <v>61</v>
      </c>
      <c r="F39" s="2" t="s">
        <v>100</v>
      </c>
      <c r="G39" s="2" t="s">
        <v>101</v>
      </c>
      <c r="H39" s="2">
        <v>30</v>
      </c>
      <c r="I39" s="5">
        <v>85</v>
      </c>
      <c r="J39" s="2">
        <v>0</v>
      </c>
      <c r="K39" s="2" t="s">
        <v>52</v>
      </c>
      <c r="L39" s="2" t="s">
        <v>24</v>
      </c>
      <c r="M39" s="2" t="s">
        <v>40</v>
      </c>
      <c r="N39" s="2" t="s">
        <v>105</v>
      </c>
      <c r="O39" s="2" t="s">
        <v>306</v>
      </c>
      <c r="P39" s="5">
        <v>2550</v>
      </c>
      <c r="Q39" s="2"/>
    </row>
    <row r="40" spans="1:17" ht="15" customHeight="1">
      <c r="A40" s="2" t="s">
        <v>307</v>
      </c>
      <c r="B40" s="4" t="s">
        <v>304</v>
      </c>
      <c r="C40" s="2" t="s">
        <v>308</v>
      </c>
      <c r="D40" s="2" t="s">
        <v>309</v>
      </c>
      <c r="E40" s="2" t="s">
        <v>20</v>
      </c>
      <c r="F40" s="2" t="s">
        <v>310</v>
      </c>
      <c r="G40" s="2" t="s">
        <v>311</v>
      </c>
      <c r="H40" s="2">
        <v>1</v>
      </c>
      <c r="I40" s="5">
        <v>650</v>
      </c>
      <c r="J40" s="2">
        <v>0</v>
      </c>
      <c r="K40" s="2" t="s">
        <v>103</v>
      </c>
      <c r="L40" s="2" t="s">
        <v>24</v>
      </c>
      <c r="M40" s="2" t="s">
        <v>25</v>
      </c>
      <c r="N40" s="2" t="s">
        <v>312</v>
      </c>
      <c r="O40" s="2" t="s">
        <v>313</v>
      </c>
      <c r="P40" s="5">
        <v>650</v>
      </c>
      <c r="Q40" s="2" t="s">
        <v>314</v>
      </c>
    </row>
    <row r="41" spans="1:17" ht="15" customHeight="1">
      <c r="A41" s="2" t="s">
        <v>315</v>
      </c>
      <c r="B41" s="4" t="s">
        <v>316</v>
      </c>
      <c r="C41" s="2" t="s">
        <v>317</v>
      </c>
      <c r="D41" s="2" t="s">
        <v>318</v>
      </c>
      <c r="E41" s="2" t="s">
        <v>33</v>
      </c>
      <c r="F41" s="2" t="s">
        <v>200</v>
      </c>
      <c r="G41" s="2" t="s">
        <v>22</v>
      </c>
      <c r="H41" s="2">
        <v>1</v>
      </c>
      <c r="I41" s="5">
        <v>5200</v>
      </c>
      <c r="J41" s="2" t="s">
        <v>319</v>
      </c>
      <c r="K41" s="2" t="s">
        <v>23</v>
      </c>
      <c r="L41" s="2" t="s">
        <v>24</v>
      </c>
      <c r="M41" s="2" t="s">
        <v>64</v>
      </c>
      <c r="N41" s="2" t="s">
        <v>320</v>
      </c>
      <c r="O41" s="2" t="s">
        <v>321</v>
      </c>
      <c r="P41" s="5">
        <v>4420</v>
      </c>
      <c r="Q41" s="2" t="s">
        <v>322</v>
      </c>
    </row>
    <row r="42" spans="1:17" ht="15" customHeight="1">
      <c r="A42" s="2" t="s">
        <v>323</v>
      </c>
      <c r="B42" s="4" t="s">
        <v>316</v>
      </c>
      <c r="C42" s="2" t="s">
        <v>324</v>
      </c>
      <c r="D42" s="2" t="s">
        <v>325</v>
      </c>
      <c r="E42" s="2" t="s">
        <v>71</v>
      </c>
      <c r="F42" s="2" t="s">
        <v>92</v>
      </c>
      <c r="G42" s="2" t="s">
        <v>22</v>
      </c>
      <c r="H42" s="2">
        <v>1</v>
      </c>
      <c r="I42" s="5">
        <v>3900</v>
      </c>
      <c r="J42" s="2">
        <v>0</v>
      </c>
      <c r="K42" s="2" t="s">
        <v>52</v>
      </c>
      <c r="L42" s="2"/>
      <c r="M42" s="2" t="s">
        <v>40</v>
      </c>
      <c r="N42" s="2" t="s">
        <v>326</v>
      </c>
      <c r="O42" s="2" t="s">
        <v>327</v>
      </c>
      <c r="P42" s="5">
        <v>3900</v>
      </c>
      <c r="Q42" s="2" t="s">
        <v>328</v>
      </c>
    </row>
    <row r="43" spans="1:17" ht="15" customHeight="1">
      <c r="A43" s="2" t="s">
        <v>329</v>
      </c>
      <c r="B43" s="4" t="s">
        <v>330</v>
      </c>
      <c r="C43" s="2" t="s">
        <v>331</v>
      </c>
      <c r="D43" s="2" t="s">
        <v>332</v>
      </c>
      <c r="E43" s="2" t="s">
        <v>20</v>
      </c>
      <c r="F43" s="2" t="s">
        <v>62</v>
      </c>
      <c r="G43" s="2" t="s">
        <v>333</v>
      </c>
      <c r="H43" s="2">
        <v>1</v>
      </c>
      <c r="I43" s="5">
        <v>3200</v>
      </c>
      <c r="J43" s="2">
        <v>0</v>
      </c>
      <c r="K43" s="2" t="s">
        <v>103</v>
      </c>
      <c r="L43" s="2" t="s">
        <v>24</v>
      </c>
      <c r="M43" s="2" t="s">
        <v>25</v>
      </c>
      <c r="N43" s="2" t="s">
        <v>334</v>
      </c>
      <c r="O43" s="2" t="s">
        <v>335</v>
      </c>
      <c r="P43" s="5">
        <v>3200</v>
      </c>
      <c r="Q43" s="2" t="s">
        <v>336</v>
      </c>
    </row>
    <row r="44" spans="1:17" ht="26.45" customHeight="1">
      <c r="A44" s="2" t="s">
        <v>337</v>
      </c>
      <c r="B44" s="4" t="s">
        <v>330</v>
      </c>
      <c r="C44" s="2" t="s">
        <v>338</v>
      </c>
      <c r="D44" s="2" t="s">
        <v>339</v>
      </c>
      <c r="E44" s="2" t="s">
        <v>33</v>
      </c>
      <c r="F44" s="2" t="s">
        <v>21</v>
      </c>
      <c r="G44" s="2" t="s">
        <v>22</v>
      </c>
      <c r="H44" s="2">
        <v>1</v>
      </c>
      <c r="I44" s="5">
        <v>14500</v>
      </c>
      <c r="J44" s="2">
        <v>0</v>
      </c>
      <c r="K44" s="2" t="s">
        <v>23</v>
      </c>
      <c r="L44" s="2" t="s">
        <v>24</v>
      </c>
      <c r="M44" s="2" t="s">
        <v>64</v>
      </c>
      <c r="N44" s="2" t="s">
        <v>340</v>
      </c>
      <c r="O44" s="2" t="s">
        <v>341</v>
      </c>
      <c r="P44" s="5">
        <v>13775</v>
      </c>
      <c r="Q44" s="2" t="s">
        <v>342</v>
      </c>
    </row>
    <row r="45" spans="1:17" ht="15" customHeight="1">
      <c r="A45" s="2" t="s">
        <v>343</v>
      </c>
      <c r="B45" s="4" t="s">
        <v>344</v>
      </c>
      <c r="C45" s="2" t="s">
        <v>345</v>
      </c>
      <c r="D45" s="2" t="s">
        <v>83</v>
      </c>
      <c r="E45" s="2" t="s">
        <v>84</v>
      </c>
      <c r="F45" s="2" t="s">
        <v>85</v>
      </c>
      <c r="G45" s="2" t="s">
        <v>73</v>
      </c>
      <c r="H45" s="2">
        <v>2</v>
      </c>
      <c r="I45" s="5">
        <v>2500</v>
      </c>
      <c r="J45" s="2">
        <v>0.05</v>
      </c>
      <c r="K45" s="2" t="s">
        <v>52</v>
      </c>
      <c r="L45" s="2" t="s">
        <v>24</v>
      </c>
      <c r="M45" s="2" t="s">
        <v>40</v>
      </c>
      <c r="N45" s="2" t="s">
        <v>86</v>
      </c>
      <c r="O45" s="2" t="s">
        <v>346</v>
      </c>
      <c r="P45" s="5">
        <v>4750</v>
      </c>
      <c r="Q45" s="2"/>
    </row>
    <row r="46" spans="1:17" ht="15" customHeight="1">
      <c r="A46" s="2" t="s">
        <v>347</v>
      </c>
      <c r="B46" s="4" t="s">
        <v>344</v>
      </c>
      <c r="C46" s="2" t="s">
        <v>348</v>
      </c>
      <c r="D46" s="2" t="s">
        <v>349</v>
      </c>
      <c r="E46" s="2" t="s">
        <v>61</v>
      </c>
      <c r="F46" s="2" t="s">
        <v>113</v>
      </c>
      <c r="G46" s="2" t="s">
        <v>101</v>
      </c>
      <c r="H46" s="2" t="s">
        <v>350</v>
      </c>
      <c r="I46" s="5">
        <v>250</v>
      </c>
      <c r="J46" s="2">
        <v>0</v>
      </c>
      <c r="K46" s="2" t="s">
        <v>103</v>
      </c>
      <c r="L46" s="2" t="s">
        <v>24</v>
      </c>
      <c r="M46" s="2" t="s">
        <v>25</v>
      </c>
      <c r="N46" s="2" t="s">
        <v>351</v>
      </c>
      <c r="O46" s="2" t="s">
        <v>352</v>
      </c>
      <c r="P46" s="5">
        <v>750</v>
      </c>
      <c r="Q46" s="2" t="s">
        <v>353</v>
      </c>
    </row>
    <row r="47" spans="1:17" ht="15" customHeight="1">
      <c r="A47" s="2" t="s">
        <v>354</v>
      </c>
      <c r="B47" s="4" t="s">
        <v>355</v>
      </c>
      <c r="C47" s="2" t="s">
        <v>356</v>
      </c>
      <c r="D47" s="2" t="s">
        <v>357</v>
      </c>
      <c r="E47" s="2" t="s">
        <v>20</v>
      </c>
      <c r="F47" s="2" t="s">
        <v>358</v>
      </c>
      <c r="G47" s="2" t="s">
        <v>73</v>
      </c>
      <c r="H47" s="2">
        <v>1</v>
      </c>
      <c r="I47" s="5" t="s">
        <v>359</v>
      </c>
      <c r="J47" s="2">
        <v>0</v>
      </c>
      <c r="K47" s="2" t="s">
        <v>23</v>
      </c>
      <c r="L47" s="2" t="s">
        <v>24</v>
      </c>
      <c r="M47" s="2" t="s">
        <v>64</v>
      </c>
      <c r="N47" s="2" t="s">
        <v>360</v>
      </c>
      <c r="O47" s="2" t="s">
        <v>361</v>
      </c>
      <c r="P47" s="5">
        <v>1250</v>
      </c>
      <c r="Q47" s="2" t="s">
        <v>362</v>
      </c>
    </row>
    <row r="48" spans="1:17" ht="15" customHeight="1">
      <c r="A48" s="2" t="s">
        <v>363</v>
      </c>
      <c r="B48" s="4" t="s">
        <v>355</v>
      </c>
      <c r="C48" s="2" t="s">
        <v>364</v>
      </c>
      <c r="D48" s="2" t="s">
        <v>365</v>
      </c>
      <c r="E48" s="2" t="s">
        <v>33</v>
      </c>
      <c r="F48" s="2" t="s">
        <v>100</v>
      </c>
      <c r="G48" s="2" t="s">
        <v>101</v>
      </c>
      <c r="H48" s="2">
        <v>15</v>
      </c>
      <c r="I48" s="5">
        <v>85</v>
      </c>
      <c r="J48" s="2" t="s">
        <v>38</v>
      </c>
      <c r="K48" s="2" t="s">
        <v>103</v>
      </c>
      <c r="L48" s="2" t="s">
        <v>24</v>
      </c>
      <c r="M48" s="2" t="s">
        <v>40</v>
      </c>
      <c r="N48" s="2" t="s">
        <v>366</v>
      </c>
      <c r="O48" s="2" t="s">
        <v>367</v>
      </c>
      <c r="P48" s="5">
        <v>1275</v>
      </c>
      <c r="Q48" s="2"/>
    </row>
    <row r="49" spans="1:17" ht="15" customHeight="1">
      <c r="A49" s="2" t="s">
        <v>368</v>
      </c>
      <c r="B49" s="4" t="s">
        <v>369</v>
      </c>
      <c r="C49" s="2" t="s">
        <v>370</v>
      </c>
      <c r="D49" s="2" t="s">
        <v>371</v>
      </c>
      <c r="E49" s="2" t="s">
        <v>61</v>
      </c>
      <c r="F49" s="2" t="s">
        <v>139</v>
      </c>
      <c r="G49" s="2" t="s">
        <v>22</v>
      </c>
      <c r="H49" s="2">
        <v>1</v>
      </c>
      <c r="I49" s="5">
        <v>350</v>
      </c>
      <c r="J49" s="2">
        <v>0</v>
      </c>
      <c r="K49" s="2" t="s">
        <v>52</v>
      </c>
      <c r="L49" s="2" t="s">
        <v>24</v>
      </c>
      <c r="M49" s="2" t="s">
        <v>25</v>
      </c>
      <c r="N49" s="2" t="s">
        <v>372</v>
      </c>
      <c r="O49" s="2" t="s">
        <v>373</v>
      </c>
      <c r="P49" s="5">
        <v>350</v>
      </c>
      <c r="Q49" s="2"/>
    </row>
    <row r="50" spans="1:17" ht="15" customHeight="1">
      <c r="A50" s="2" t="s">
        <v>374</v>
      </c>
      <c r="B50" s="4" t="s">
        <v>369</v>
      </c>
      <c r="C50" s="2" t="s">
        <v>375</v>
      </c>
      <c r="D50" s="2" t="s">
        <v>376</v>
      </c>
      <c r="E50" s="2" t="s">
        <v>71</v>
      </c>
      <c r="F50" s="2" t="s">
        <v>49</v>
      </c>
      <c r="G50" s="2" t="s">
        <v>22</v>
      </c>
      <c r="H50" s="2">
        <v>2</v>
      </c>
      <c r="I50" s="5">
        <v>450</v>
      </c>
      <c r="J50" s="2">
        <v>0.1</v>
      </c>
      <c r="K50" s="2" t="s">
        <v>23</v>
      </c>
      <c r="L50" s="2" t="s">
        <v>24</v>
      </c>
      <c r="M50" s="2" t="s">
        <v>64</v>
      </c>
      <c r="N50" s="2" t="s">
        <v>377</v>
      </c>
      <c r="O50" s="2" t="s">
        <v>378</v>
      </c>
      <c r="P50" s="5">
        <v>810</v>
      </c>
      <c r="Q50" s="2"/>
    </row>
    <row r="51" spans="1:17" ht="15" customHeight="1">
      <c r="A51" s="2" t="s">
        <v>379</v>
      </c>
      <c r="B51" s="4" t="s">
        <v>380</v>
      </c>
      <c r="C51" s="2" t="s">
        <v>381</v>
      </c>
      <c r="D51" s="2" t="s">
        <v>382</v>
      </c>
      <c r="E51" s="2" t="s">
        <v>20</v>
      </c>
      <c r="F51" s="2" t="s">
        <v>21</v>
      </c>
      <c r="G51" s="2" t="s">
        <v>22</v>
      </c>
      <c r="H51" s="2">
        <v>1</v>
      </c>
      <c r="I51" s="5">
        <v>14500</v>
      </c>
      <c r="J51" s="2">
        <v>0.05</v>
      </c>
      <c r="K51" s="2" t="s">
        <v>23</v>
      </c>
      <c r="L51" s="2" t="s">
        <v>383</v>
      </c>
      <c r="M51" s="2" t="s">
        <v>40</v>
      </c>
      <c r="N51" s="2" t="s">
        <v>384</v>
      </c>
      <c r="O51" s="2" t="s">
        <v>385</v>
      </c>
      <c r="P51" s="5">
        <v>13775</v>
      </c>
      <c r="Q51" s="2" t="s">
        <v>386</v>
      </c>
    </row>
    <row r="52" spans="1:17" ht="15" customHeight="1">
      <c r="A52" s="2" t="s">
        <v>387</v>
      </c>
      <c r="B52" s="4" t="s">
        <v>380</v>
      </c>
      <c r="C52" s="2" t="s">
        <v>388</v>
      </c>
      <c r="D52" s="2" t="s">
        <v>389</v>
      </c>
      <c r="E52" s="2" t="s">
        <v>84</v>
      </c>
      <c r="F52" s="2" t="s">
        <v>92</v>
      </c>
      <c r="G52" s="2" t="s">
        <v>22</v>
      </c>
      <c r="H52" s="2">
        <v>1</v>
      </c>
      <c r="I52" s="5">
        <v>3900</v>
      </c>
      <c r="J52" s="2">
        <v>0.1</v>
      </c>
      <c r="K52" s="2" t="s">
        <v>52</v>
      </c>
      <c r="L52" s="2" t="s">
        <v>24</v>
      </c>
      <c r="M52" s="2" t="s">
        <v>25</v>
      </c>
      <c r="N52" s="2" t="s">
        <v>390</v>
      </c>
      <c r="O52" s="2" t="s">
        <v>391</v>
      </c>
      <c r="P52" s="5">
        <v>3510</v>
      </c>
      <c r="Q52" s="2"/>
    </row>
    <row r="53" spans="1:17" ht="15" customHeight="1">
      <c r="A53" s="2" t="s">
        <v>387</v>
      </c>
      <c r="B53" s="4" t="s">
        <v>380</v>
      </c>
      <c r="C53" s="2" t="s">
        <v>392</v>
      </c>
      <c r="D53" s="2" t="s">
        <v>393</v>
      </c>
      <c r="E53" s="2" t="s">
        <v>84</v>
      </c>
      <c r="F53" s="2" t="s">
        <v>92</v>
      </c>
      <c r="G53" s="2" t="s">
        <v>22</v>
      </c>
      <c r="H53" s="2">
        <v>1</v>
      </c>
      <c r="I53" s="5">
        <v>3900</v>
      </c>
      <c r="J53" s="2">
        <v>0.1</v>
      </c>
      <c r="K53" s="2" t="s">
        <v>52</v>
      </c>
      <c r="L53" s="2" t="s">
        <v>24</v>
      </c>
      <c r="M53" s="2" t="s">
        <v>64</v>
      </c>
      <c r="N53" s="2" t="s">
        <v>394</v>
      </c>
      <c r="O53" s="2" t="s">
        <v>395</v>
      </c>
      <c r="P53" s="5">
        <v>3510</v>
      </c>
      <c r="Q53" s="2" t="s">
        <v>396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1"/>
  <sheetViews>
    <sheetView workbookViewId="0">
      <selection activeCell="C25" sqref="C25"/>
    </sheetView>
  </sheetViews>
  <sheetFormatPr defaultRowHeight="14.25"/>
  <cols>
    <col min="1" max="2" width="24" customWidth="1"/>
    <col min="3" max="3" width="52" customWidth="1"/>
    <col min="5" max="5" width="24" customWidth="1"/>
    <col min="7" max="7" width="24" customWidth="1"/>
    <col min="9" max="9" width="24" customWidth="1"/>
  </cols>
  <sheetData>
    <row r="1" spans="1:9" ht="19.149999999999999" customHeight="1">
      <c r="A1" s="8" t="s">
        <v>397</v>
      </c>
      <c r="B1" s="9"/>
      <c r="C1" s="9"/>
      <c r="D1" s="9"/>
      <c r="E1" s="9"/>
      <c r="F1" s="9"/>
      <c r="G1" s="9"/>
      <c r="H1" s="9"/>
    </row>
    <row r="3" spans="1:9" ht="15" customHeight="1">
      <c r="A3" s="3" t="s">
        <v>398</v>
      </c>
      <c r="C3" s="3" t="s">
        <v>399</v>
      </c>
      <c r="E3" s="3" t="s">
        <v>400</v>
      </c>
      <c r="G3" s="3" t="s">
        <v>401</v>
      </c>
      <c r="I3" s="3" t="s">
        <v>402</v>
      </c>
    </row>
    <row r="4" spans="1:9" ht="15" customHeight="1">
      <c r="A4" t="s">
        <v>20</v>
      </c>
      <c r="C4" t="s">
        <v>21</v>
      </c>
      <c r="E4" t="s">
        <v>22</v>
      </c>
      <c r="G4" t="s">
        <v>103</v>
      </c>
      <c r="I4" t="s">
        <v>24</v>
      </c>
    </row>
    <row r="5" spans="1:9" ht="15" customHeight="1">
      <c r="A5" t="s">
        <v>33</v>
      </c>
      <c r="C5" t="s">
        <v>139</v>
      </c>
      <c r="E5" t="s">
        <v>73</v>
      </c>
      <c r="G5" t="s">
        <v>23</v>
      </c>
      <c r="I5" t="s">
        <v>63</v>
      </c>
    </row>
    <row r="6" spans="1:9" ht="15" customHeight="1">
      <c r="A6" t="s">
        <v>61</v>
      </c>
      <c r="C6" t="s">
        <v>49</v>
      </c>
      <c r="E6" t="s">
        <v>101</v>
      </c>
      <c r="G6" t="s">
        <v>52</v>
      </c>
      <c r="I6" t="s">
        <v>76</v>
      </c>
    </row>
    <row r="7" spans="1:9" ht="15" customHeight="1">
      <c r="A7" t="s">
        <v>71</v>
      </c>
      <c r="C7" t="s">
        <v>62</v>
      </c>
      <c r="E7" t="s">
        <v>217</v>
      </c>
    </row>
    <row r="8" spans="1:9" ht="15" customHeight="1">
      <c r="A8" t="s">
        <v>84</v>
      </c>
      <c r="C8" t="s">
        <v>92</v>
      </c>
    </row>
    <row r="9" spans="1:9" ht="15" customHeight="1">
      <c r="A9" t="s">
        <v>112</v>
      </c>
      <c r="C9" t="s">
        <v>72</v>
      </c>
    </row>
    <row r="10" spans="1:9" ht="15" customHeight="1">
      <c r="C10" t="s">
        <v>85</v>
      </c>
    </row>
    <row r="11" spans="1:9" ht="15" customHeight="1">
      <c r="C11" t="s">
        <v>100</v>
      </c>
    </row>
    <row r="12" spans="1:9" ht="15" customHeight="1">
      <c r="C12" t="s">
        <v>113</v>
      </c>
    </row>
    <row r="13" spans="1:9" ht="15" customHeight="1">
      <c r="C13" t="s">
        <v>200</v>
      </c>
    </row>
    <row r="14" spans="1:9" ht="15" customHeight="1">
      <c r="C14" t="s">
        <v>216</v>
      </c>
    </row>
    <row r="17" spans="1:3" ht="15" customHeight="1">
      <c r="A17" s="3" t="s">
        <v>403</v>
      </c>
      <c r="B17" s="3" t="s">
        <v>404</v>
      </c>
      <c r="C17" s="3" t="s">
        <v>405</v>
      </c>
    </row>
    <row r="18" spans="1:3" ht="26.45" customHeight="1">
      <c r="A18" s="2" t="s">
        <v>0</v>
      </c>
      <c r="B18" s="2" t="s">
        <v>406</v>
      </c>
      <c r="C18" s="2" t="s">
        <v>407</v>
      </c>
    </row>
    <row r="19" spans="1:3" ht="26.45" customHeight="1">
      <c r="A19" s="2" t="s">
        <v>1</v>
      </c>
      <c r="B19" s="2" t="s">
        <v>408</v>
      </c>
      <c r="C19" s="2" t="s">
        <v>409</v>
      </c>
    </row>
    <row r="20" spans="1:3" ht="15" customHeight="1">
      <c r="A20" s="2" t="s">
        <v>2</v>
      </c>
      <c r="B20" s="2" t="s">
        <v>410</v>
      </c>
      <c r="C20" s="2" t="s">
        <v>411</v>
      </c>
    </row>
    <row r="21" spans="1:3" ht="15" customHeight="1">
      <c r="A21" s="2" t="s">
        <v>3</v>
      </c>
      <c r="B21" s="2" t="s">
        <v>412</v>
      </c>
      <c r="C21" s="2" t="s">
        <v>413</v>
      </c>
    </row>
    <row r="22" spans="1:3" ht="26.45" customHeight="1">
      <c r="A22" s="2" t="s">
        <v>4</v>
      </c>
      <c r="B22" s="2" t="s">
        <v>414</v>
      </c>
      <c r="C22" s="2" t="s">
        <v>415</v>
      </c>
    </row>
    <row r="23" spans="1:3" ht="15" customHeight="1">
      <c r="A23" s="2" t="s">
        <v>5</v>
      </c>
      <c r="B23" s="2" t="s">
        <v>414</v>
      </c>
      <c r="C23" s="2" t="s">
        <v>416</v>
      </c>
    </row>
    <row r="24" spans="1:3" ht="26.45" customHeight="1">
      <c r="A24" s="2" t="s">
        <v>417</v>
      </c>
      <c r="B24" s="2" t="s">
        <v>414</v>
      </c>
      <c r="C24" s="2" t="s">
        <v>418</v>
      </c>
    </row>
    <row r="25" spans="1:3" ht="26.45" customHeight="1">
      <c r="A25" s="2" t="s">
        <v>7</v>
      </c>
      <c r="B25" s="2" t="s">
        <v>419</v>
      </c>
      <c r="C25" s="2" t="s">
        <v>420</v>
      </c>
    </row>
    <row r="26" spans="1:3" ht="26.45" customHeight="1">
      <c r="A26" s="2" t="s">
        <v>8</v>
      </c>
      <c r="B26" s="2" t="s">
        <v>421</v>
      </c>
      <c r="C26" s="2" t="s">
        <v>422</v>
      </c>
    </row>
    <row r="27" spans="1:3" ht="26.45" customHeight="1">
      <c r="A27" s="2" t="s">
        <v>9</v>
      </c>
      <c r="B27" s="2" t="s">
        <v>423</v>
      </c>
      <c r="C27" s="2" t="s">
        <v>424</v>
      </c>
    </row>
    <row r="28" spans="1:3" ht="26.45" customHeight="1">
      <c r="A28" s="2" t="s">
        <v>10</v>
      </c>
      <c r="B28" s="2" t="s">
        <v>414</v>
      </c>
      <c r="C28" s="2" t="s">
        <v>425</v>
      </c>
    </row>
    <row r="29" spans="1:3" ht="26.45" customHeight="1">
      <c r="A29" s="2" t="s">
        <v>11</v>
      </c>
      <c r="B29" s="2" t="s">
        <v>414</v>
      </c>
      <c r="C29" s="2" t="s">
        <v>426</v>
      </c>
    </row>
    <row r="30" spans="1:3" ht="26.45" customHeight="1">
      <c r="A30" s="2" t="s">
        <v>15</v>
      </c>
      <c r="B30" s="2" t="s">
        <v>427</v>
      </c>
      <c r="C30" s="2" t="s">
        <v>428</v>
      </c>
    </row>
    <row r="31" spans="1:3" ht="15" customHeight="1">
      <c r="A31" s="2"/>
      <c r="B31" s="2"/>
      <c r="C31" s="2"/>
    </row>
  </sheetData>
  <mergeCells count="1"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3"/>
  <sheetViews>
    <sheetView workbookViewId="0">
      <selection activeCell="A18" sqref="A18:C18"/>
    </sheetView>
  </sheetViews>
  <sheetFormatPr defaultRowHeight="14.25"/>
  <cols>
    <col min="1" max="1" width="34" customWidth="1"/>
    <col min="2" max="2" width="20" customWidth="1"/>
    <col min="3" max="3" width="58" customWidth="1"/>
    <col min="5" max="5" width="25" customWidth="1"/>
    <col min="6" max="6" width="14" customWidth="1"/>
  </cols>
  <sheetData>
    <row r="1" spans="1:7" ht="19.149999999999999" customHeight="1">
      <c r="A1" s="8" t="s">
        <v>429</v>
      </c>
      <c r="B1" s="9"/>
      <c r="C1" s="9"/>
      <c r="D1" s="9"/>
      <c r="E1" s="9"/>
      <c r="F1" s="9"/>
      <c r="G1" s="9"/>
    </row>
    <row r="3" spans="1:7" ht="15" customHeight="1">
      <c r="A3" s="3" t="s">
        <v>430</v>
      </c>
      <c r="B3" s="3" t="s">
        <v>431</v>
      </c>
      <c r="C3" s="3" t="s">
        <v>432</v>
      </c>
      <c r="E3" s="3" t="s">
        <v>433</v>
      </c>
      <c r="F3" s="3" t="s">
        <v>7</v>
      </c>
    </row>
    <row r="4" spans="1:7" ht="15" customHeight="1">
      <c r="A4" s="1" t="s">
        <v>434</v>
      </c>
      <c r="B4" s="6">
        <v>52</v>
      </c>
      <c r="C4" s="2" t="s">
        <v>466</v>
      </c>
      <c r="E4" t="s">
        <v>435</v>
      </c>
      <c r="F4">
        <f t="shared" ref="F4:F12" si="0">B6</f>
        <v>1</v>
      </c>
    </row>
    <row r="5" spans="1:7" ht="15" customHeight="1">
      <c r="A5" s="1" t="s">
        <v>436</v>
      </c>
      <c r="B5" s="6">
        <v>17</v>
      </c>
      <c r="C5" s="2" t="s">
        <v>467</v>
      </c>
      <c r="E5" t="s">
        <v>437</v>
      </c>
      <c r="F5">
        <f t="shared" si="0"/>
        <v>1</v>
      </c>
    </row>
    <row r="6" spans="1:7" ht="15" customHeight="1">
      <c r="A6" s="1" t="s">
        <v>435</v>
      </c>
      <c r="B6" s="6">
        <v>1</v>
      </c>
      <c r="C6" s="2" t="s">
        <v>468</v>
      </c>
      <c r="E6" t="s">
        <v>438</v>
      </c>
      <c r="F6">
        <f t="shared" si="0"/>
        <v>1</v>
      </c>
    </row>
    <row r="7" spans="1:7" ht="15" customHeight="1">
      <c r="A7" s="1" t="s">
        <v>437</v>
      </c>
      <c r="B7" s="6">
        <v>1</v>
      </c>
      <c r="C7" s="2" t="s">
        <v>469</v>
      </c>
      <c r="E7" t="s">
        <v>439</v>
      </c>
      <c r="F7">
        <f t="shared" si="0"/>
        <v>1</v>
      </c>
    </row>
    <row r="8" spans="1:7" ht="15" customHeight="1">
      <c r="A8" s="1" t="s">
        <v>438</v>
      </c>
      <c r="B8" s="6">
        <v>1</v>
      </c>
      <c r="C8" s="2" t="s">
        <v>470</v>
      </c>
      <c r="E8" t="s">
        <v>440</v>
      </c>
      <c r="F8">
        <f t="shared" si="0"/>
        <v>1</v>
      </c>
    </row>
    <row r="9" spans="1:7" ht="15" customHeight="1">
      <c r="A9" s="1" t="s">
        <v>439</v>
      </c>
      <c r="B9" s="6">
        <v>1</v>
      </c>
      <c r="C9" s="2" t="s">
        <v>471</v>
      </c>
      <c r="E9" t="s">
        <v>441</v>
      </c>
      <c r="F9">
        <f t="shared" si="0"/>
        <v>2</v>
      </c>
    </row>
    <row r="10" spans="1:7" ht="15" customHeight="1">
      <c r="A10" s="1" t="s">
        <v>440</v>
      </c>
      <c r="B10" s="6">
        <v>1</v>
      </c>
      <c r="C10" s="2" t="s">
        <v>472</v>
      </c>
      <c r="E10" t="s">
        <v>442</v>
      </c>
      <c r="F10">
        <f t="shared" si="0"/>
        <v>1</v>
      </c>
    </row>
    <row r="11" spans="1:7" ht="15" customHeight="1">
      <c r="A11" s="1" t="s">
        <v>443</v>
      </c>
      <c r="B11" s="6">
        <v>2</v>
      </c>
      <c r="C11" s="2" t="s">
        <v>473</v>
      </c>
      <c r="E11" t="s">
        <v>116</v>
      </c>
      <c r="F11">
        <f t="shared" si="0"/>
        <v>1</v>
      </c>
    </row>
    <row r="12" spans="1:7" ht="15" customHeight="1">
      <c r="A12" s="1" t="s">
        <v>444</v>
      </c>
      <c r="B12" s="6">
        <v>1</v>
      </c>
      <c r="C12" s="2" t="s">
        <v>474</v>
      </c>
      <c r="E12" t="s">
        <v>445</v>
      </c>
      <c r="F12">
        <f t="shared" si="0"/>
        <v>1</v>
      </c>
    </row>
    <row r="13" spans="1:7" ht="15" customHeight="1">
      <c r="A13" s="1" t="s">
        <v>446</v>
      </c>
      <c r="B13" s="6">
        <v>1</v>
      </c>
      <c r="C13" s="2" t="s">
        <v>475</v>
      </c>
    </row>
    <row r="14" spans="1:7" ht="15" customHeight="1">
      <c r="A14" s="1" t="s">
        <v>447</v>
      </c>
      <c r="B14" s="6">
        <v>1</v>
      </c>
      <c r="C14" s="2" t="s">
        <v>476</v>
      </c>
    </row>
    <row r="15" spans="1:7" ht="15" customHeight="1">
      <c r="A15" s="1" t="s">
        <v>448</v>
      </c>
      <c r="B15" s="6">
        <v>11</v>
      </c>
      <c r="C15" s="2" t="s">
        <v>477</v>
      </c>
    </row>
    <row r="18" spans="1:3" ht="15" customHeight="1">
      <c r="A18" s="10"/>
      <c r="B18" s="9"/>
      <c r="C18" s="9"/>
    </row>
    <row r="19" spans="1:3" ht="15" customHeight="1">
      <c r="A19" s="7"/>
    </row>
    <row r="20" spans="1:3" ht="26.45" customHeight="1">
      <c r="A20" s="2"/>
    </row>
    <row r="21" spans="1:3" ht="26.45" customHeight="1">
      <c r="A21" s="2"/>
    </row>
    <row r="22" spans="1:3" ht="39.6" customHeight="1">
      <c r="A22" s="2"/>
    </row>
    <row r="23" spans="1:3" ht="26.45" customHeight="1">
      <c r="A23" s="2"/>
    </row>
  </sheetData>
  <mergeCells count="2">
    <mergeCell ref="A18:C18"/>
    <mergeCell ref="A1:G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35"/>
  <sheetViews>
    <sheetView tabSelected="1" workbookViewId="0">
      <selection activeCell="I7" sqref="I7"/>
    </sheetView>
  </sheetViews>
  <sheetFormatPr defaultRowHeight="14.25"/>
  <cols>
    <col min="1" max="1" width="9.5" bestFit="1" customWidth="1"/>
    <col min="2" max="2" width="13.25" bestFit="1" customWidth="1"/>
    <col min="3" max="3" width="10.875" bestFit="1" customWidth="1"/>
    <col min="4" max="4" width="16.375" bestFit="1" customWidth="1"/>
    <col min="5" max="5" width="13.75" bestFit="1" customWidth="1"/>
    <col min="6" max="6" width="11" bestFit="1" customWidth="1"/>
    <col min="7" max="7" width="11.5" bestFit="1" customWidth="1"/>
    <col min="8" max="8" width="10.75" bestFit="1" customWidth="1"/>
    <col min="9" max="9" width="15.75" bestFit="1" customWidth="1"/>
    <col min="10" max="10" width="12.5" bestFit="1" customWidth="1"/>
    <col min="11" max="11" width="14.125" bestFit="1" customWidth="1"/>
    <col min="13" max="13" width="11.5" bestFit="1" customWidth="1"/>
    <col min="14" max="14" width="27.25" bestFit="1" customWidth="1"/>
    <col min="15" max="15" width="13" bestFit="1" customWidth="1"/>
    <col min="16" max="16" width="10.875" bestFit="1" customWidth="1"/>
    <col min="17" max="17" width="16.25" bestFit="1" customWidth="1"/>
    <col min="18" max="18" width="16.875" bestFit="1" customWidth="1"/>
    <col min="19" max="19" width="12" bestFit="1" customWidth="1"/>
    <col min="20" max="20" width="75.875" bestFit="1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449</v>
      </c>
      <c r="P1" t="s">
        <v>14</v>
      </c>
      <c r="Q1" t="s">
        <v>450</v>
      </c>
      <c r="R1" t="s">
        <v>15</v>
      </c>
      <c r="S1" t="s">
        <v>451</v>
      </c>
      <c r="T1" t="s">
        <v>452</v>
      </c>
    </row>
    <row r="2" spans="1:20">
      <c r="A2" t="s">
        <v>17</v>
      </c>
      <c r="B2" t="s">
        <v>453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>
        <v>1</v>
      </c>
      <c r="I2">
        <v>14500</v>
      </c>
      <c r="J2">
        <v>0.05</v>
      </c>
      <c r="K2" t="s">
        <v>23</v>
      </c>
      <c r="L2" t="s">
        <v>24</v>
      </c>
      <c r="M2" t="s">
        <v>25</v>
      </c>
      <c r="N2" t="s">
        <v>26</v>
      </c>
      <c r="O2" t="s">
        <v>454</v>
      </c>
      <c r="P2" t="s">
        <v>27</v>
      </c>
      <c r="Q2">
        <v>13775</v>
      </c>
      <c r="R2">
        <v>13775</v>
      </c>
      <c r="S2">
        <v>0</v>
      </c>
      <c r="T2" t="s">
        <v>455</v>
      </c>
    </row>
    <row r="3" spans="1:20">
      <c r="A3" t="s">
        <v>29</v>
      </c>
      <c r="B3" t="s">
        <v>453</v>
      </c>
      <c r="C3" t="s">
        <v>456</v>
      </c>
      <c r="D3" t="s">
        <v>32</v>
      </c>
      <c r="E3" t="s">
        <v>33</v>
      </c>
      <c r="F3" t="s">
        <v>139</v>
      </c>
      <c r="G3" t="s">
        <v>22</v>
      </c>
      <c r="H3">
        <v>2</v>
      </c>
      <c r="I3">
        <v>350</v>
      </c>
      <c r="J3">
        <v>0</v>
      </c>
      <c r="K3" t="s">
        <v>103</v>
      </c>
      <c r="L3" t="s">
        <v>24</v>
      </c>
      <c r="M3" t="s">
        <v>40</v>
      </c>
      <c r="N3" t="s">
        <v>41</v>
      </c>
      <c r="O3" t="s">
        <v>454</v>
      </c>
      <c r="P3" t="s">
        <v>42</v>
      </c>
      <c r="Q3">
        <v>700</v>
      </c>
      <c r="R3">
        <v>700</v>
      </c>
      <c r="S3">
        <v>0</v>
      </c>
      <c r="T3" t="s">
        <v>455</v>
      </c>
    </row>
    <row r="4" spans="1:20">
      <c r="A4" t="s">
        <v>44</v>
      </c>
      <c r="B4" t="s">
        <v>457</v>
      </c>
      <c r="C4" t="s">
        <v>46</v>
      </c>
      <c r="D4" t="s">
        <v>47</v>
      </c>
      <c r="E4" t="s">
        <v>33</v>
      </c>
      <c r="F4" t="s">
        <v>49</v>
      </c>
      <c r="G4" t="s">
        <v>22</v>
      </c>
      <c r="H4">
        <v>1</v>
      </c>
      <c r="I4">
        <v>450.5</v>
      </c>
      <c r="J4">
        <v>0.05</v>
      </c>
      <c r="K4" t="s">
        <v>52</v>
      </c>
      <c r="L4" t="s">
        <v>24</v>
      </c>
      <c r="M4" t="s">
        <v>40</v>
      </c>
      <c r="N4" t="s">
        <v>54</v>
      </c>
      <c r="O4" t="s">
        <v>458</v>
      </c>
      <c r="P4" t="s">
        <v>55</v>
      </c>
      <c r="Q4">
        <v>427.97</v>
      </c>
      <c r="R4">
        <v>428</v>
      </c>
      <c r="S4">
        <v>0.03</v>
      </c>
      <c r="T4" t="s">
        <v>459</v>
      </c>
    </row>
    <row r="5" spans="1:20">
      <c r="A5" t="s">
        <v>144</v>
      </c>
      <c r="B5" t="s">
        <v>136</v>
      </c>
      <c r="C5" t="s">
        <v>145</v>
      </c>
      <c r="D5" t="s">
        <v>146</v>
      </c>
      <c r="E5" t="s">
        <v>61</v>
      </c>
      <c r="F5" t="s">
        <v>72</v>
      </c>
      <c r="G5" t="s">
        <v>73</v>
      </c>
      <c r="H5">
        <v>1</v>
      </c>
      <c r="I5">
        <v>1250</v>
      </c>
      <c r="J5">
        <v>0.1</v>
      </c>
      <c r="K5" t="s">
        <v>103</v>
      </c>
      <c r="L5" t="s">
        <v>24</v>
      </c>
      <c r="M5" t="s">
        <v>40</v>
      </c>
      <c r="N5" t="s">
        <v>147</v>
      </c>
      <c r="O5" t="s">
        <v>454</v>
      </c>
      <c r="P5" t="s">
        <v>148</v>
      </c>
      <c r="Q5">
        <v>1125</v>
      </c>
      <c r="R5">
        <v>1250</v>
      </c>
      <c r="S5">
        <v>125</v>
      </c>
      <c r="T5" t="s">
        <v>460</v>
      </c>
    </row>
    <row r="6" spans="1:20">
      <c r="A6" t="s">
        <v>150</v>
      </c>
      <c r="B6" t="s">
        <v>151</v>
      </c>
      <c r="C6" t="s">
        <v>152</v>
      </c>
      <c r="D6" t="s">
        <v>153</v>
      </c>
      <c r="E6" t="s">
        <v>71</v>
      </c>
      <c r="F6" t="s">
        <v>85</v>
      </c>
      <c r="G6" t="s">
        <v>73</v>
      </c>
      <c r="H6">
        <v>1</v>
      </c>
      <c r="I6">
        <v>2500</v>
      </c>
      <c r="J6">
        <v>0.05</v>
      </c>
      <c r="K6" t="s">
        <v>52</v>
      </c>
      <c r="L6" t="s">
        <v>24</v>
      </c>
      <c r="M6" t="s">
        <v>25</v>
      </c>
      <c r="N6" t="s">
        <v>156</v>
      </c>
      <c r="O6" t="s">
        <v>454</v>
      </c>
      <c r="P6" t="s">
        <v>157</v>
      </c>
      <c r="Q6">
        <v>2375</v>
      </c>
      <c r="R6">
        <v>2375</v>
      </c>
      <c r="S6">
        <v>0</v>
      </c>
      <c r="T6" t="s">
        <v>455</v>
      </c>
    </row>
    <row r="7" spans="1:20">
      <c r="A7" t="s">
        <v>165</v>
      </c>
      <c r="B7" t="s">
        <v>166</v>
      </c>
      <c r="C7" t="s">
        <v>167</v>
      </c>
      <c r="D7" t="s">
        <v>168</v>
      </c>
      <c r="E7" t="s">
        <v>33</v>
      </c>
      <c r="F7" t="s">
        <v>49</v>
      </c>
      <c r="G7" t="s">
        <v>22</v>
      </c>
      <c r="H7">
        <v>3</v>
      </c>
      <c r="I7">
        <v>450</v>
      </c>
      <c r="J7">
        <v>0</v>
      </c>
      <c r="K7" t="s">
        <v>103</v>
      </c>
      <c r="L7" t="s">
        <v>24</v>
      </c>
      <c r="M7" t="s">
        <v>40</v>
      </c>
      <c r="N7" t="s">
        <v>170</v>
      </c>
      <c r="O7" t="s">
        <v>454</v>
      </c>
      <c r="P7" t="s">
        <v>171</v>
      </c>
      <c r="Q7">
        <v>1350</v>
      </c>
      <c r="R7">
        <v>1350</v>
      </c>
      <c r="S7">
        <v>0</v>
      </c>
      <c r="T7" t="s">
        <v>455</v>
      </c>
    </row>
    <row r="8" spans="1:20">
      <c r="A8" t="s">
        <v>180</v>
      </c>
      <c r="B8" t="s">
        <v>181</v>
      </c>
      <c r="C8" t="s">
        <v>182</v>
      </c>
      <c r="D8" t="s">
        <v>183</v>
      </c>
      <c r="E8" t="s">
        <v>61</v>
      </c>
      <c r="F8" t="s">
        <v>62</v>
      </c>
      <c r="G8" t="s">
        <v>22</v>
      </c>
      <c r="H8">
        <v>1</v>
      </c>
      <c r="I8">
        <v>3200</v>
      </c>
      <c r="J8">
        <v>0</v>
      </c>
      <c r="K8" t="s">
        <v>52</v>
      </c>
      <c r="L8" t="s">
        <v>24</v>
      </c>
      <c r="M8" t="s">
        <v>64</v>
      </c>
      <c r="N8" t="s">
        <v>184</v>
      </c>
      <c r="O8" t="s">
        <v>454</v>
      </c>
      <c r="P8" t="s">
        <v>185</v>
      </c>
      <c r="Q8">
        <v>3200</v>
      </c>
      <c r="R8">
        <v>3200</v>
      </c>
      <c r="S8">
        <v>0</v>
      </c>
      <c r="T8" t="s">
        <v>461</v>
      </c>
    </row>
    <row r="9" spans="1:20">
      <c r="A9" t="s">
        <v>187</v>
      </c>
      <c r="B9" t="s">
        <v>181</v>
      </c>
      <c r="C9" t="s">
        <v>188</v>
      </c>
      <c r="D9" t="s">
        <v>19</v>
      </c>
      <c r="E9" t="s">
        <v>20</v>
      </c>
      <c r="F9" t="s">
        <v>21</v>
      </c>
      <c r="G9" t="s">
        <v>22</v>
      </c>
      <c r="H9">
        <v>1</v>
      </c>
      <c r="I9">
        <v>14500</v>
      </c>
      <c r="J9">
        <v>0.05</v>
      </c>
      <c r="K9" t="s">
        <v>23</v>
      </c>
      <c r="L9" t="s">
        <v>24</v>
      </c>
      <c r="M9" t="s">
        <v>40</v>
      </c>
      <c r="N9" t="s">
        <v>26</v>
      </c>
      <c r="O9" t="s">
        <v>454</v>
      </c>
      <c r="P9" t="s">
        <v>27</v>
      </c>
      <c r="Q9">
        <v>13775</v>
      </c>
      <c r="R9">
        <v>13775</v>
      </c>
      <c r="S9">
        <v>0</v>
      </c>
      <c r="T9" t="s">
        <v>455</v>
      </c>
    </row>
    <row r="10" spans="1:20">
      <c r="A10" t="s">
        <v>197</v>
      </c>
      <c r="B10" t="s">
        <v>191</v>
      </c>
      <c r="C10" t="s">
        <v>198</v>
      </c>
      <c r="D10" t="s">
        <v>199</v>
      </c>
      <c r="E10" t="s">
        <v>20</v>
      </c>
      <c r="F10" t="s">
        <v>200</v>
      </c>
      <c r="G10" t="s">
        <v>22</v>
      </c>
      <c r="H10">
        <v>1</v>
      </c>
      <c r="I10">
        <v>5200</v>
      </c>
      <c r="J10">
        <v>0.2</v>
      </c>
      <c r="K10" t="s">
        <v>23</v>
      </c>
      <c r="L10" t="s">
        <v>24</v>
      </c>
      <c r="M10" t="s">
        <v>64</v>
      </c>
      <c r="N10" t="s">
        <v>201</v>
      </c>
      <c r="O10" t="s">
        <v>454</v>
      </c>
      <c r="P10" t="s">
        <v>202</v>
      </c>
      <c r="Q10">
        <v>4160</v>
      </c>
      <c r="R10">
        <v>4160</v>
      </c>
      <c r="S10">
        <v>0</v>
      </c>
      <c r="T10" t="s">
        <v>455</v>
      </c>
    </row>
    <row r="11" spans="1:20">
      <c r="A11" t="s">
        <v>203</v>
      </c>
      <c r="B11" t="s">
        <v>204</v>
      </c>
      <c r="C11" t="s">
        <v>205</v>
      </c>
      <c r="D11" t="s">
        <v>206</v>
      </c>
      <c r="E11" t="s">
        <v>84</v>
      </c>
      <c r="F11" t="s">
        <v>21</v>
      </c>
      <c r="G11" t="s">
        <v>22</v>
      </c>
      <c r="H11">
        <v>1</v>
      </c>
      <c r="I11">
        <v>14500</v>
      </c>
      <c r="J11">
        <v>0.05</v>
      </c>
      <c r="K11" t="s">
        <v>52</v>
      </c>
      <c r="L11" t="s">
        <v>24</v>
      </c>
      <c r="M11" t="s">
        <v>40</v>
      </c>
      <c r="N11" t="s">
        <v>209</v>
      </c>
      <c r="O11" t="s">
        <v>454</v>
      </c>
      <c r="P11" t="s">
        <v>210</v>
      </c>
      <c r="Q11">
        <v>13775</v>
      </c>
      <c r="R11">
        <v>13775</v>
      </c>
      <c r="S11">
        <v>0</v>
      </c>
      <c r="T11" t="s">
        <v>455</v>
      </c>
    </row>
    <row r="12" spans="1:20">
      <c r="A12" t="s">
        <v>213</v>
      </c>
      <c r="B12" t="s">
        <v>204</v>
      </c>
      <c r="C12" t="s">
        <v>214</v>
      </c>
      <c r="D12" t="s">
        <v>215</v>
      </c>
      <c r="E12" t="s">
        <v>71</v>
      </c>
      <c r="F12" t="s">
        <v>216</v>
      </c>
      <c r="G12" t="s">
        <v>217</v>
      </c>
      <c r="H12">
        <v>2</v>
      </c>
      <c r="I12">
        <v>650</v>
      </c>
      <c r="J12">
        <v>0</v>
      </c>
      <c r="K12" t="s">
        <v>23</v>
      </c>
      <c r="L12" t="s">
        <v>24</v>
      </c>
      <c r="M12" t="s">
        <v>25</v>
      </c>
      <c r="N12" t="s">
        <v>218</v>
      </c>
      <c r="O12" t="s">
        <v>454</v>
      </c>
      <c r="P12" t="s">
        <v>219</v>
      </c>
      <c r="Q12">
        <v>1300</v>
      </c>
      <c r="R12">
        <v>1300</v>
      </c>
      <c r="S12">
        <v>0</v>
      </c>
      <c r="T12" t="s">
        <v>455</v>
      </c>
    </row>
    <row r="13" spans="1:20">
      <c r="A13" t="s">
        <v>227</v>
      </c>
      <c r="B13" t="s">
        <v>221</v>
      </c>
      <c r="C13" t="s">
        <v>228</v>
      </c>
      <c r="D13" t="s">
        <v>229</v>
      </c>
      <c r="E13" t="s">
        <v>61</v>
      </c>
      <c r="F13" t="s">
        <v>62</v>
      </c>
      <c r="G13" t="s">
        <v>22</v>
      </c>
      <c r="H13">
        <v>1</v>
      </c>
      <c r="I13">
        <v>3200</v>
      </c>
      <c r="J13">
        <v>0</v>
      </c>
      <c r="K13" t="s">
        <v>52</v>
      </c>
      <c r="L13" t="s">
        <v>24</v>
      </c>
      <c r="M13" t="s">
        <v>40</v>
      </c>
      <c r="N13" t="s">
        <v>231</v>
      </c>
      <c r="O13" t="s">
        <v>454</v>
      </c>
      <c r="P13" t="s">
        <v>232</v>
      </c>
      <c r="Q13">
        <v>3200</v>
      </c>
      <c r="R13">
        <v>3200</v>
      </c>
      <c r="S13">
        <v>0</v>
      </c>
      <c r="T13" t="s">
        <v>455</v>
      </c>
    </row>
    <row r="14" spans="1:20">
      <c r="A14" t="s">
        <v>234</v>
      </c>
      <c r="B14" t="s">
        <v>221</v>
      </c>
      <c r="C14" t="s">
        <v>236</v>
      </c>
      <c r="D14" t="s">
        <v>237</v>
      </c>
      <c r="E14" t="s">
        <v>20</v>
      </c>
      <c r="F14" t="s">
        <v>49</v>
      </c>
      <c r="G14" t="s">
        <v>22</v>
      </c>
      <c r="H14">
        <v>1</v>
      </c>
      <c r="I14">
        <v>450</v>
      </c>
      <c r="J14">
        <v>0</v>
      </c>
      <c r="K14" t="s">
        <v>103</v>
      </c>
      <c r="L14" t="s">
        <v>24</v>
      </c>
      <c r="M14" t="s">
        <v>25</v>
      </c>
      <c r="N14" t="s">
        <v>238</v>
      </c>
      <c r="O14" t="s">
        <v>454</v>
      </c>
      <c r="P14" t="s">
        <v>239</v>
      </c>
      <c r="Q14">
        <v>450</v>
      </c>
      <c r="R14">
        <v>450</v>
      </c>
      <c r="S14">
        <v>0</v>
      </c>
      <c r="T14" t="s">
        <v>455</v>
      </c>
    </row>
    <row r="15" spans="1:20">
      <c r="A15" t="s">
        <v>241</v>
      </c>
      <c r="B15" t="s">
        <v>249</v>
      </c>
      <c r="C15" t="s">
        <v>243</v>
      </c>
      <c r="D15" t="s">
        <v>462</v>
      </c>
      <c r="E15" t="s">
        <v>33</v>
      </c>
      <c r="F15" t="s">
        <v>72</v>
      </c>
      <c r="G15" t="s">
        <v>73</v>
      </c>
      <c r="H15">
        <v>2</v>
      </c>
      <c r="I15">
        <v>1250</v>
      </c>
      <c r="J15">
        <v>0.1</v>
      </c>
      <c r="K15" t="s">
        <v>23</v>
      </c>
      <c r="L15" t="s">
        <v>24</v>
      </c>
      <c r="M15" t="s">
        <v>64</v>
      </c>
      <c r="N15" t="s">
        <v>245</v>
      </c>
      <c r="O15" t="s">
        <v>454</v>
      </c>
      <c r="P15" t="s">
        <v>246</v>
      </c>
      <c r="Q15">
        <v>2250</v>
      </c>
      <c r="R15">
        <v>2250</v>
      </c>
      <c r="S15">
        <v>0</v>
      </c>
      <c r="T15" t="s">
        <v>455</v>
      </c>
    </row>
    <row r="16" spans="1:20">
      <c r="A16" t="s">
        <v>248</v>
      </c>
      <c r="B16" t="s">
        <v>249</v>
      </c>
      <c r="C16" t="s">
        <v>250</v>
      </c>
      <c r="D16" t="s">
        <v>251</v>
      </c>
      <c r="E16" t="s">
        <v>20</v>
      </c>
      <c r="F16" t="s">
        <v>85</v>
      </c>
      <c r="G16" t="s">
        <v>73</v>
      </c>
      <c r="H16">
        <v>1</v>
      </c>
      <c r="I16">
        <v>2500</v>
      </c>
      <c r="J16">
        <v>0.05</v>
      </c>
      <c r="K16" t="s">
        <v>103</v>
      </c>
      <c r="L16" t="s">
        <v>24</v>
      </c>
      <c r="M16" t="s">
        <v>40</v>
      </c>
      <c r="N16" t="s">
        <v>252</v>
      </c>
      <c r="O16" t="s">
        <v>454</v>
      </c>
      <c r="P16" t="s">
        <v>253</v>
      </c>
      <c r="Q16">
        <v>2375</v>
      </c>
      <c r="R16">
        <v>2375</v>
      </c>
      <c r="S16">
        <v>0</v>
      </c>
      <c r="T16" t="s">
        <v>455</v>
      </c>
    </row>
    <row r="17" spans="1:20">
      <c r="A17" t="s">
        <v>254</v>
      </c>
      <c r="B17" t="s">
        <v>255</v>
      </c>
      <c r="C17" t="s">
        <v>256</v>
      </c>
      <c r="D17" t="s">
        <v>257</v>
      </c>
      <c r="E17" t="s">
        <v>84</v>
      </c>
      <c r="F17" t="s">
        <v>92</v>
      </c>
      <c r="G17" t="s">
        <v>22</v>
      </c>
      <c r="H17">
        <v>1</v>
      </c>
      <c r="I17">
        <v>3900</v>
      </c>
      <c r="J17">
        <v>0.05</v>
      </c>
      <c r="K17" t="s">
        <v>23</v>
      </c>
      <c r="L17" t="s">
        <v>24</v>
      </c>
      <c r="M17" t="s">
        <v>25</v>
      </c>
      <c r="N17" t="s">
        <v>259</v>
      </c>
      <c r="O17" t="s">
        <v>454</v>
      </c>
      <c r="P17" t="s">
        <v>260</v>
      </c>
      <c r="Q17">
        <v>3705</v>
      </c>
      <c r="R17">
        <v>3705</v>
      </c>
      <c r="S17">
        <v>0</v>
      </c>
      <c r="T17" t="s">
        <v>455</v>
      </c>
    </row>
    <row r="18" spans="1:20">
      <c r="A18" t="s">
        <v>262</v>
      </c>
      <c r="B18" t="s">
        <v>255</v>
      </c>
      <c r="C18" t="s">
        <v>263</v>
      </c>
      <c r="D18" t="s">
        <v>264</v>
      </c>
      <c r="E18" t="s">
        <v>61</v>
      </c>
      <c r="F18" t="s">
        <v>100</v>
      </c>
      <c r="G18" t="s">
        <v>101</v>
      </c>
      <c r="H18">
        <v>20</v>
      </c>
      <c r="I18">
        <v>85</v>
      </c>
      <c r="J18">
        <v>0</v>
      </c>
      <c r="K18" t="s">
        <v>103</v>
      </c>
      <c r="L18" t="s">
        <v>24</v>
      </c>
      <c r="M18" t="s">
        <v>64</v>
      </c>
      <c r="N18" t="s">
        <v>265</v>
      </c>
      <c r="O18" t="s">
        <v>454</v>
      </c>
      <c r="P18" t="s">
        <v>266</v>
      </c>
      <c r="Q18">
        <v>1700</v>
      </c>
      <c r="R18">
        <v>1700</v>
      </c>
      <c r="S18">
        <v>0</v>
      </c>
      <c r="T18" t="s">
        <v>455</v>
      </c>
    </row>
    <row r="19" spans="1:20">
      <c r="A19" t="s">
        <v>267</v>
      </c>
      <c r="B19" t="s">
        <v>268</v>
      </c>
      <c r="C19" t="s">
        <v>269</v>
      </c>
      <c r="D19" t="s">
        <v>270</v>
      </c>
      <c r="E19" t="s">
        <v>71</v>
      </c>
      <c r="F19" t="s">
        <v>113</v>
      </c>
      <c r="G19" t="s">
        <v>101</v>
      </c>
      <c r="H19">
        <v>3</v>
      </c>
      <c r="I19">
        <v>250</v>
      </c>
      <c r="J19">
        <v>0.1</v>
      </c>
      <c r="K19" t="s">
        <v>23</v>
      </c>
      <c r="L19" t="s">
        <v>24</v>
      </c>
      <c r="M19" t="s">
        <v>40</v>
      </c>
      <c r="N19" t="s">
        <v>271</v>
      </c>
      <c r="O19" t="s">
        <v>454</v>
      </c>
      <c r="P19" t="s">
        <v>272</v>
      </c>
      <c r="Q19">
        <v>675</v>
      </c>
      <c r="R19">
        <v>675</v>
      </c>
      <c r="S19">
        <v>0</v>
      </c>
      <c r="T19" t="s">
        <v>455</v>
      </c>
    </row>
    <row r="20" spans="1:20">
      <c r="A20" t="s">
        <v>273</v>
      </c>
      <c r="B20" t="s">
        <v>268</v>
      </c>
      <c r="C20" t="s">
        <v>274</v>
      </c>
      <c r="D20" t="s">
        <v>275</v>
      </c>
      <c r="E20" t="s">
        <v>112</v>
      </c>
      <c r="F20" t="s">
        <v>21</v>
      </c>
      <c r="G20" t="s">
        <v>22</v>
      </c>
      <c r="H20">
        <v>1</v>
      </c>
      <c r="I20">
        <v>14500</v>
      </c>
      <c r="J20">
        <v>0</v>
      </c>
      <c r="K20" t="s">
        <v>52</v>
      </c>
      <c r="L20" t="s">
        <v>24</v>
      </c>
      <c r="M20" t="s">
        <v>25</v>
      </c>
      <c r="N20" t="s">
        <v>278</v>
      </c>
      <c r="O20" t="s">
        <v>454</v>
      </c>
      <c r="P20" t="s">
        <v>279</v>
      </c>
      <c r="Q20">
        <v>14500</v>
      </c>
      <c r="R20">
        <v>14500</v>
      </c>
      <c r="S20">
        <v>0</v>
      </c>
      <c r="T20" t="s">
        <v>455</v>
      </c>
    </row>
    <row r="21" spans="1:20">
      <c r="A21" t="s">
        <v>281</v>
      </c>
      <c r="B21" t="s">
        <v>282</v>
      </c>
      <c r="C21" t="s">
        <v>283</v>
      </c>
      <c r="D21" t="s">
        <v>284</v>
      </c>
      <c r="E21" t="s">
        <v>20</v>
      </c>
      <c r="F21" t="s">
        <v>62</v>
      </c>
      <c r="G21" t="s">
        <v>22</v>
      </c>
      <c r="H21">
        <v>1</v>
      </c>
      <c r="I21">
        <v>3200</v>
      </c>
      <c r="J21">
        <v>0</v>
      </c>
      <c r="K21" t="s">
        <v>103</v>
      </c>
      <c r="L21" t="s">
        <v>24</v>
      </c>
      <c r="M21" t="s">
        <v>64</v>
      </c>
      <c r="N21" t="s">
        <v>285</v>
      </c>
      <c r="O21" t="s">
        <v>454</v>
      </c>
      <c r="P21" t="s">
        <v>286</v>
      </c>
      <c r="Q21">
        <v>3200</v>
      </c>
      <c r="R21">
        <v>3000</v>
      </c>
      <c r="S21">
        <v>-200</v>
      </c>
      <c r="T21" t="s">
        <v>463</v>
      </c>
    </row>
    <row r="22" spans="1:20">
      <c r="A22" t="s">
        <v>288</v>
      </c>
      <c r="B22" t="s">
        <v>282</v>
      </c>
      <c r="C22" t="s">
        <v>289</v>
      </c>
      <c r="D22" t="s">
        <v>290</v>
      </c>
      <c r="E22" t="s">
        <v>33</v>
      </c>
      <c r="F22" t="s">
        <v>139</v>
      </c>
      <c r="G22" t="s">
        <v>22</v>
      </c>
      <c r="H22">
        <v>5</v>
      </c>
      <c r="I22">
        <v>350</v>
      </c>
      <c r="J22">
        <v>0.05</v>
      </c>
      <c r="K22" t="s">
        <v>23</v>
      </c>
      <c r="L22" t="s">
        <v>63</v>
      </c>
      <c r="M22" t="s">
        <v>40</v>
      </c>
      <c r="N22" t="s">
        <v>291</v>
      </c>
      <c r="O22" t="s">
        <v>454</v>
      </c>
      <c r="P22" t="s">
        <v>292</v>
      </c>
      <c r="Q22">
        <v>1662.5</v>
      </c>
      <c r="R22">
        <v>1662.5</v>
      </c>
      <c r="S22">
        <v>0</v>
      </c>
      <c r="T22" t="s">
        <v>455</v>
      </c>
    </row>
    <row r="23" spans="1:20">
      <c r="A23" t="s">
        <v>298</v>
      </c>
      <c r="B23" t="s">
        <v>294</v>
      </c>
      <c r="C23" t="s">
        <v>299</v>
      </c>
      <c r="D23" t="s">
        <v>300</v>
      </c>
      <c r="E23" t="s">
        <v>84</v>
      </c>
      <c r="F23" t="s">
        <v>72</v>
      </c>
      <c r="G23" t="s">
        <v>73</v>
      </c>
      <c r="H23">
        <v>1</v>
      </c>
      <c r="I23">
        <v>1250</v>
      </c>
      <c r="J23">
        <v>0.15</v>
      </c>
      <c r="K23" t="s">
        <v>23</v>
      </c>
      <c r="L23" t="s">
        <v>24</v>
      </c>
      <c r="M23" t="s">
        <v>64</v>
      </c>
      <c r="N23" t="s">
        <v>301</v>
      </c>
      <c r="O23" t="s">
        <v>454</v>
      </c>
      <c r="P23" t="s">
        <v>302</v>
      </c>
      <c r="Q23">
        <v>1062.5</v>
      </c>
      <c r="R23">
        <v>1062.5</v>
      </c>
      <c r="S23">
        <v>0</v>
      </c>
      <c r="T23" t="s">
        <v>455</v>
      </c>
    </row>
    <row r="24" spans="1:20">
      <c r="A24" t="s">
        <v>303</v>
      </c>
      <c r="B24" t="s">
        <v>304</v>
      </c>
      <c r="C24" t="s">
        <v>305</v>
      </c>
      <c r="D24" t="s">
        <v>98</v>
      </c>
      <c r="E24" t="s">
        <v>61</v>
      </c>
      <c r="F24" t="s">
        <v>100</v>
      </c>
      <c r="G24" t="s">
        <v>101</v>
      </c>
      <c r="H24">
        <v>30</v>
      </c>
      <c r="I24">
        <v>85</v>
      </c>
      <c r="J24">
        <v>0</v>
      </c>
      <c r="K24" t="s">
        <v>52</v>
      </c>
      <c r="L24" t="s">
        <v>24</v>
      </c>
      <c r="M24" t="s">
        <v>40</v>
      </c>
      <c r="N24" t="s">
        <v>105</v>
      </c>
      <c r="O24" t="s">
        <v>454</v>
      </c>
      <c r="P24" t="s">
        <v>306</v>
      </c>
      <c r="Q24">
        <v>2550</v>
      </c>
      <c r="R24">
        <v>2550</v>
      </c>
      <c r="S24">
        <v>0</v>
      </c>
      <c r="T24" t="s">
        <v>455</v>
      </c>
    </row>
    <row r="25" spans="1:20">
      <c r="A25" t="s">
        <v>307</v>
      </c>
      <c r="B25" t="s">
        <v>304</v>
      </c>
      <c r="C25" t="s">
        <v>308</v>
      </c>
      <c r="D25" t="s">
        <v>309</v>
      </c>
      <c r="E25" t="s">
        <v>20</v>
      </c>
      <c r="F25" t="s">
        <v>216</v>
      </c>
      <c r="G25" t="s">
        <v>217</v>
      </c>
      <c r="H25">
        <v>1</v>
      </c>
      <c r="I25">
        <v>650</v>
      </c>
      <c r="J25">
        <v>0</v>
      </c>
      <c r="K25" t="s">
        <v>103</v>
      </c>
      <c r="L25" t="s">
        <v>24</v>
      </c>
      <c r="M25" t="s">
        <v>25</v>
      </c>
      <c r="N25" t="s">
        <v>312</v>
      </c>
      <c r="O25" t="s">
        <v>454</v>
      </c>
      <c r="P25" t="s">
        <v>313</v>
      </c>
      <c r="Q25">
        <v>650</v>
      </c>
      <c r="R25">
        <v>650</v>
      </c>
      <c r="S25">
        <v>0</v>
      </c>
      <c r="T25" t="s">
        <v>455</v>
      </c>
    </row>
    <row r="26" spans="1:20">
      <c r="A26" t="s">
        <v>315</v>
      </c>
      <c r="B26" t="s">
        <v>316</v>
      </c>
      <c r="C26" t="s">
        <v>317</v>
      </c>
      <c r="D26" t="s">
        <v>318</v>
      </c>
      <c r="E26" t="s">
        <v>33</v>
      </c>
      <c r="F26" t="s">
        <v>200</v>
      </c>
      <c r="G26" t="s">
        <v>22</v>
      </c>
      <c r="H26">
        <v>1</v>
      </c>
      <c r="I26">
        <v>5200</v>
      </c>
      <c r="J26">
        <v>0.15</v>
      </c>
      <c r="K26" t="s">
        <v>23</v>
      </c>
      <c r="L26" t="s">
        <v>24</v>
      </c>
      <c r="M26" t="s">
        <v>64</v>
      </c>
      <c r="N26" t="s">
        <v>320</v>
      </c>
      <c r="O26" t="s">
        <v>454</v>
      </c>
      <c r="P26" t="s">
        <v>321</v>
      </c>
      <c r="Q26">
        <v>4420</v>
      </c>
      <c r="R26">
        <v>4420</v>
      </c>
      <c r="S26">
        <v>0</v>
      </c>
      <c r="T26" t="s">
        <v>455</v>
      </c>
    </row>
    <row r="27" spans="1:20">
      <c r="A27" t="s">
        <v>329</v>
      </c>
      <c r="B27" t="s">
        <v>330</v>
      </c>
      <c r="C27" t="s">
        <v>331</v>
      </c>
      <c r="D27" t="s">
        <v>332</v>
      </c>
      <c r="E27" t="s">
        <v>20</v>
      </c>
      <c r="F27" t="s">
        <v>62</v>
      </c>
      <c r="G27" t="s">
        <v>22</v>
      </c>
      <c r="H27">
        <v>1</v>
      </c>
      <c r="I27">
        <v>3200</v>
      </c>
      <c r="J27">
        <v>0</v>
      </c>
      <c r="K27" t="s">
        <v>103</v>
      </c>
      <c r="L27" t="s">
        <v>24</v>
      </c>
      <c r="M27" t="s">
        <v>25</v>
      </c>
      <c r="N27" t="s">
        <v>334</v>
      </c>
      <c r="O27" t="s">
        <v>454</v>
      </c>
      <c r="P27" t="s">
        <v>335</v>
      </c>
      <c r="Q27">
        <v>3200</v>
      </c>
      <c r="R27">
        <v>3200</v>
      </c>
      <c r="S27">
        <v>0</v>
      </c>
      <c r="T27" t="s">
        <v>455</v>
      </c>
    </row>
    <row r="28" spans="1:20">
      <c r="A28" t="s">
        <v>337</v>
      </c>
      <c r="B28" t="s">
        <v>330</v>
      </c>
      <c r="C28" t="s">
        <v>338</v>
      </c>
      <c r="D28" t="s">
        <v>339</v>
      </c>
      <c r="E28" t="s">
        <v>33</v>
      </c>
      <c r="F28" t="s">
        <v>21</v>
      </c>
      <c r="G28" t="s">
        <v>22</v>
      </c>
      <c r="H28">
        <v>1</v>
      </c>
      <c r="I28">
        <v>14500</v>
      </c>
      <c r="J28">
        <v>0</v>
      </c>
      <c r="K28" t="s">
        <v>23</v>
      </c>
      <c r="L28" t="s">
        <v>24</v>
      </c>
      <c r="M28" t="s">
        <v>64</v>
      </c>
      <c r="N28" t="s">
        <v>340</v>
      </c>
      <c r="O28" t="s">
        <v>454</v>
      </c>
      <c r="P28" t="s">
        <v>341</v>
      </c>
      <c r="Q28">
        <v>14500</v>
      </c>
      <c r="R28">
        <v>13775</v>
      </c>
      <c r="S28">
        <v>-725</v>
      </c>
      <c r="T28" t="s">
        <v>464</v>
      </c>
    </row>
    <row r="29" spans="1:20">
      <c r="A29" t="s">
        <v>343</v>
      </c>
      <c r="B29" t="s">
        <v>344</v>
      </c>
      <c r="C29" t="s">
        <v>345</v>
      </c>
      <c r="D29" t="s">
        <v>83</v>
      </c>
      <c r="E29" t="s">
        <v>84</v>
      </c>
      <c r="F29" t="s">
        <v>85</v>
      </c>
      <c r="G29" t="s">
        <v>73</v>
      </c>
      <c r="H29">
        <v>2</v>
      </c>
      <c r="I29">
        <v>2500</v>
      </c>
      <c r="J29">
        <v>0.05</v>
      </c>
      <c r="K29" t="s">
        <v>52</v>
      </c>
      <c r="L29" t="s">
        <v>24</v>
      </c>
      <c r="M29" t="s">
        <v>40</v>
      </c>
      <c r="N29" t="s">
        <v>86</v>
      </c>
      <c r="O29" t="s">
        <v>454</v>
      </c>
      <c r="P29" t="s">
        <v>346</v>
      </c>
      <c r="Q29">
        <v>4750</v>
      </c>
      <c r="R29">
        <v>4750</v>
      </c>
      <c r="S29">
        <v>0</v>
      </c>
      <c r="T29" t="s">
        <v>455</v>
      </c>
    </row>
    <row r="30" spans="1:20">
      <c r="A30" t="s">
        <v>347</v>
      </c>
      <c r="B30" t="s">
        <v>344</v>
      </c>
      <c r="C30" t="s">
        <v>348</v>
      </c>
      <c r="D30" t="s">
        <v>349</v>
      </c>
      <c r="E30" t="s">
        <v>61</v>
      </c>
      <c r="F30" t="s">
        <v>113</v>
      </c>
      <c r="G30" t="s">
        <v>101</v>
      </c>
      <c r="H30">
        <v>3</v>
      </c>
      <c r="I30">
        <v>250</v>
      </c>
      <c r="J30">
        <v>0</v>
      </c>
      <c r="K30" t="s">
        <v>103</v>
      </c>
      <c r="L30" t="s">
        <v>24</v>
      </c>
      <c r="M30" t="s">
        <v>25</v>
      </c>
      <c r="N30" t="s">
        <v>351</v>
      </c>
      <c r="O30" t="s">
        <v>454</v>
      </c>
      <c r="P30" t="s">
        <v>352</v>
      </c>
      <c r="Q30">
        <v>750</v>
      </c>
      <c r="R30">
        <v>750</v>
      </c>
      <c r="S30">
        <v>0</v>
      </c>
      <c r="T30" t="s">
        <v>465</v>
      </c>
    </row>
    <row r="31" spans="1:20">
      <c r="A31" t="s">
        <v>354</v>
      </c>
      <c r="B31" t="s">
        <v>355</v>
      </c>
      <c r="C31" t="s">
        <v>356</v>
      </c>
      <c r="D31" t="s">
        <v>357</v>
      </c>
      <c r="E31" t="s">
        <v>20</v>
      </c>
      <c r="F31" t="s">
        <v>72</v>
      </c>
      <c r="G31" t="s">
        <v>73</v>
      </c>
      <c r="H31">
        <v>1</v>
      </c>
      <c r="I31">
        <v>1250</v>
      </c>
      <c r="J31">
        <v>0</v>
      </c>
      <c r="K31" t="s">
        <v>23</v>
      </c>
      <c r="L31" t="s">
        <v>24</v>
      </c>
      <c r="M31" t="s">
        <v>64</v>
      </c>
      <c r="N31" t="s">
        <v>360</v>
      </c>
      <c r="O31" t="s">
        <v>454</v>
      </c>
      <c r="P31" t="s">
        <v>361</v>
      </c>
      <c r="Q31">
        <v>1250</v>
      </c>
      <c r="R31">
        <v>1250</v>
      </c>
      <c r="S31">
        <v>0</v>
      </c>
      <c r="T31" t="s">
        <v>455</v>
      </c>
    </row>
    <row r="32" spans="1:20">
      <c r="A32" t="s">
        <v>363</v>
      </c>
      <c r="B32" t="s">
        <v>355</v>
      </c>
      <c r="C32" t="s">
        <v>364</v>
      </c>
      <c r="D32" t="s">
        <v>365</v>
      </c>
      <c r="E32" t="s">
        <v>33</v>
      </c>
      <c r="F32" t="s">
        <v>100</v>
      </c>
      <c r="G32" t="s">
        <v>101</v>
      </c>
      <c r="H32">
        <v>15</v>
      </c>
      <c r="I32">
        <v>85</v>
      </c>
      <c r="J32">
        <v>0</v>
      </c>
      <c r="K32" t="s">
        <v>103</v>
      </c>
      <c r="L32" t="s">
        <v>24</v>
      </c>
      <c r="M32" t="s">
        <v>40</v>
      </c>
      <c r="N32" t="s">
        <v>366</v>
      </c>
      <c r="O32" t="s">
        <v>454</v>
      </c>
      <c r="P32" t="s">
        <v>367</v>
      </c>
      <c r="Q32">
        <v>1275</v>
      </c>
      <c r="R32">
        <v>1275</v>
      </c>
      <c r="S32">
        <v>0</v>
      </c>
      <c r="T32" t="s">
        <v>455</v>
      </c>
    </row>
    <row r="33" spans="1:20">
      <c r="A33" t="s">
        <v>368</v>
      </c>
      <c r="B33" t="s">
        <v>369</v>
      </c>
      <c r="C33" t="s">
        <v>370</v>
      </c>
      <c r="D33" t="s">
        <v>371</v>
      </c>
      <c r="E33" t="s">
        <v>61</v>
      </c>
      <c r="F33" t="s">
        <v>139</v>
      </c>
      <c r="G33" t="s">
        <v>22</v>
      </c>
      <c r="H33">
        <v>1</v>
      </c>
      <c r="I33">
        <v>350</v>
      </c>
      <c r="J33">
        <v>0</v>
      </c>
      <c r="K33" t="s">
        <v>52</v>
      </c>
      <c r="L33" t="s">
        <v>24</v>
      </c>
      <c r="M33" t="s">
        <v>25</v>
      </c>
      <c r="N33" t="s">
        <v>372</v>
      </c>
      <c r="O33" t="s">
        <v>454</v>
      </c>
      <c r="P33" t="s">
        <v>373</v>
      </c>
      <c r="Q33">
        <v>350</v>
      </c>
      <c r="R33">
        <v>350</v>
      </c>
      <c r="S33">
        <v>0</v>
      </c>
      <c r="T33" t="s">
        <v>455</v>
      </c>
    </row>
    <row r="34" spans="1:20">
      <c r="A34" t="s">
        <v>374</v>
      </c>
      <c r="B34" t="s">
        <v>369</v>
      </c>
      <c r="C34" t="s">
        <v>375</v>
      </c>
      <c r="D34" t="s">
        <v>376</v>
      </c>
      <c r="E34" t="s">
        <v>71</v>
      </c>
      <c r="F34" t="s">
        <v>49</v>
      </c>
      <c r="G34" t="s">
        <v>22</v>
      </c>
      <c r="H34">
        <v>2</v>
      </c>
      <c r="I34">
        <v>450</v>
      </c>
      <c r="J34">
        <v>0.1</v>
      </c>
      <c r="K34" t="s">
        <v>23</v>
      </c>
      <c r="L34" t="s">
        <v>24</v>
      </c>
      <c r="M34" t="s">
        <v>64</v>
      </c>
      <c r="N34" t="s">
        <v>377</v>
      </c>
      <c r="O34" t="s">
        <v>454</v>
      </c>
      <c r="P34" t="s">
        <v>378</v>
      </c>
      <c r="Q34">
        <v>810</v>
      </c>
      <c r="R34">
        <v>810</v>
      </c>
      <c r="S34">
        <v>0</v>
      </c>
      <c r="T34" t="s">
        <v>455</v>
      </c>
    </row>
    <row r="35" spans="1:20">
      <c r="A35" t="s">
        <v>387</v>
      </c>
      <c r="B35" t="s">
        <v>380</v>
      </c>
      <c r="C35" t="s">
        <v>388</v>
      </c>
      <c r="D35" t="s">
        <v>389</v>
      </c>
      <c r="E35" t="s">
        <v>84</v>
      </c>
      <c r="F35" t="s">
        <v>92</v>
      </c>
      <c r="G35" t="s">
        <v>22</v>
      </c>
      <c r="H35">
        <v>1</v>
      </c>
      <c r="I35">
        <v>3900</v>
      </c>
      <c r="J35">
        <v>0.1</v>
      </c>
      <c r="K35" t="s">
        <v>52</v>
      </c>
      <c r="L35" t="s">
        <v>24</v>
      </c>
      <c r="M35" t="s">
        <v>25</v>
      </c>
      <c r="N35" t="s">
        <v>390</v>
      </c>
      <c r="O35" t="s">
        <v>454</v>
      </c>
      <c r="P35" t="s">
        <v>391</v>
      </c>
      <c r="Q35">
        <v>3510</v>
      </c>
      <c r="R35">
        <v>3510</v>
      </c>
      <c r="S35">
        <v>0</v>
      </c>
      <c r="T35" t="s">
        <v>455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Ventas_Raw</vt:lpstr>
      <vt:lpstr>Catalogos_Reglas</vt:lpstr>
      <vt:lpstr>Perfilado_Raw</vt:lpstr>
      <vt:lpstr>Silver_Data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Tommy Vega</cp:lastModifiedBy>
  <dcterms:created xsi:type="dcterms:W3CDTF">2026-05-29T03:41:46Z</dcterms:created>
  <dcterms:modified xsi:type="dcterms:W3CDTF">2026-05-29T04:02:56Z</dcterms:modified>
</cp:coreProperties>
</file>